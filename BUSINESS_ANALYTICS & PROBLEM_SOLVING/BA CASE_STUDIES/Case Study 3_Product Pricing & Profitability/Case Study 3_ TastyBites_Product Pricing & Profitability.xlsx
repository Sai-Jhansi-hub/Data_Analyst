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tyBites_Orders" sheetId="1" r:id="rId5"/>
  </sheets>
  <definedNames/>
  <calcPr/>
</workbook>
</file>

<file path=xl/sharedStrings.xml><?xml version="1.0" encoding="utf-8"?>
<sst xmlns="http://schemas.openxmlformats.org/spreadsheetml/2006/main" count="9018" uniqueCount="2562">
  <si>
    <t>Order_ID</t>
  </si>
  <si>
    <t>Order_Date</t>
  </si>
  <si>
    <t>ProductID</t>
  </si>
  <si>
    <t>City</t>
  </si>
  <si>
    <t>Product_Category</t>
  </si>
  <si>
    <t>Product_Name</t>
  </si>
  <si>
    <t>Quantity_Sold</t>
  </si>
  <si>
    <t>Cost_Price</t>
  </si>
  <si>
    <t>Unit_Price</t>
  </si>
  <si>
    <t>Discount_Percent</t>
  </si>
  <si>
    <t>CustomerType</t>
  </si>
  <si>
    <t>PaymentMode</t>
  </si>
  <si>
    <t>Total_Cost</t>
  </si>
  <si>
    <t>Revenue</t>
  </si>
  <si>
    <t>Profit</t>
  </si>
  <si>
    <t>Profit_Margin</t>
  </si>
  <si>
    <t>Promotion_Type</t>
  </si>
  <si>
    <t>Discount_Impact</t>
  </si>
  <si>
    <t>ORD00840</t>
  </si>
  <si>
    <t>2024-05-07</t>
  </si>
  <si>
    <t>PID1001</t>
  </si>
  <si>
    <t>Bangalore</t>
  </si>
  <si>
    <t>Dessert</t>
  </si>
  <si>
    <t>Ice Cream</t>
  </si>
  <si>
    <t>Returning</t>
  </si>
  <si>
    <t>Card</t>
  </si>
  <si>
    <t>None</t>
  </si>
  <si>
    <t>ORD00355</t>
  </si>
  <si>
    <t>2024-05-01</t>
  </si>
  <si>
    <t>PID1002</t>
  </si>
  <si>
    <t>Hyderabad</t>
  </si>
  <si>
    <t>Chinese</t>
  </si>
  <si>
    <t>Noodles</t>
  </si>
  <si>
    <t>Cash</t>
  </si>
  <si>
    <t>Festival Deal</t>
  </si>
  <si>
    <t>ORD00984</t>
  </si>
  <si>
    <t>2024-05-06</t>
  </si>
  <si>
    <t>PID1010</t>
  </si>
  <si>
    <t>Fast Food</t>
  </si>
  <si>
    <t>Burger</t>
  </si>
  <si>
    <t>Combo</t>
  </si>
  <si>
    <t>ORD00890</t>
  </si>
  <si>
    <t>2024-04-15</t>
  </si>
  <si>
    <t>PID1019</t>
  </si>
  <si>
    <t>New</t>
  </si>
  <si>
    <t>ORD00729</t>
  </si>
  <si>
    <t>2024-08-03</t>
  </si>
  <si>
    <t>PID1033</t>
  </si>
  <si>
    <t>Delhi</t>
  </si>
  <si>
    <t>Coupon</t>
  </si>
  <si>
    <t>ORD00603</t>
  </si>
  <si>
    <t>2024-11-05</t>
  </si>
  <si>
    <t>PID1040</t>
  </si>
  <si>
    <t>Beverages</t>
  </si>
  <si>
    <t>Coffee</t>
  </si>
  <si>
    <t>Wallet</t>
  </si>
  <si>
    <t>ORD00556</t>
  </si>
  <si>
    <t>2025-11-11</t>
  </si>
  <si>
    <t>PID1060</t>
  </si>
  <si>
    <t>Street Food</t>
  </si>
  <si>
    <t>Momos</t>
  </si>
  <si>
    <t>UPI</t>
  </si>
  <si>
    <t>ORD00928</t>
  </si>
  <si>
    <t>2025-05-26</t>
  </si>
  <si>
    <t>Chennai</t>
  </si>
  <si>
    <t>Snacks</t>
  </si>
  <si>
    <t>Fries</t>
  </si>
  <si>
    <t>ORD00406</t>
  </si>
  <si>
    <t>2024-08-26</t>
  </si>
  <si>
    <t>PID1089</t>
  </si>
  <si>
    <t>Pune</t>
  </si>
  <si>
    <t>Pizza</t>
  </si>
  <si>
    <t>ORD00499</t>
  </si>
  <si>
    <t>2025-09-29</t>
  </si>
  <si>
    <t>PID1094</t>
  </si>
  <si>
    <t>Sandwich</t>
  </si>
  <si>
    <t>Offer</t>
  </si>
  <si>
    <t>ORD00396</t>
  </si>
  <si>
    <t>2025-06-12</t>
  </si>
  <si>
    <t>PID1108</t>
  </si>
  <si>
    <t>ORD00191</t>
  </si>
  <si>
    <t>2025-11-16</t>
  </si>
  <si>
    <t>PID1111</t>
  </si>
  <si>
    <t>Mumbai</t>
  </si>
  <si>
    <t>ORD00686</t>
  </si>
  <si>
    <t>2024-09-05</t>
  </si>
  <si>
    <t>PID1129</t>
  </si>
  <si>
    <t>Indian</t>
  </si>
  <si>
    <t>Biryani</t>
  </si>
  <si>
    <t>ORD00478</t>
  </si>
  <si>
    <t>2024-03-02</t>
  </si>
  <si>
    <t>PID1136</t>
  </si>
  <si>
    <t>ORD00262</t>
  </si>
  <si>
    <t>2024-05-20</t>
  </si>
  <si>
    <t>PID1138</t>
  </si>
  <si>
    <t>ORD00373</t>
  </si>
  <si>
    <t>2024-10-27</t>
  </si>
  <si>
    <t>PID1144</t>
  </si>
  <si>
    <t>ORD00260</t>
  </si>
  <si>
    <t>2024-08-06</t>
  </si>
  <si>
    <t>PID1152</t>
  </si>
  <si>
    <t>ORD00278</t>
  </si>
  <si>
    <t>2024-09-08</t>
  </si>
  <si>
    <t>PID1157</t>
  </si>
  <si>
    <t>Italian</t>
  </si>
  <si>
    <t>Pasta</t>
  </si>
  <si>
    <t>ORD00768</t>
  </si>
  <si>
    <t>2025-03-25</t>
  </si>
  <si>
    <t>PID1158</t>
  </si>
  <si>
    <t>ORD00975</t>
  </si>
  <si>
    <t>2024-01-22</t>
  </si>
  <si>
    <t>PID1159</t>
  </si>
  <si>
    <t>ORD00751</t>
  </si>
  <si>
    <t>2024-12-05</t>
  </si>
  <si>
    <t>PID1162</t>
  </si>
  <si>
    <t>ORD00926</t>
  </si>
  <si>
    <t>2025-12-06</t>
  </si>
  <si>
    <t>ORD00391</t>
  </si>
  <si>
    <t>2024-10-24</t>
  </si>
  <si>
    <t>PID1173</t>
  </si>
  <si>
    <t>ORD00743</t>
  </si>
  <si>
    <t>2025-01-25</t>
  </si>
  <si>
    <t>ORD00952</t>
  </si>
  <si>
    <t>2024-08-08</t>
  </si>
  <si>
    <t>PID1178</t>
  </si>
  <si>
    <t>ORD00507</t>
  </si>
  <si>
    <t>2025-02-28</t>
  </si>
  <si>
    <t>PID1185</t>
  </si>
  <si>
    <t>ORD00011</t>
  </si>
  <si>
    <t>PID1188</t>
  </si>
  <si>
    <t>ORD00886</t>
  </si>
  <si>
    <t>PID1193</t>
  </si>
  <si>
    <t>ORD00974</t>
  </si>
  <si>
    <t>2024-11-18</t>
  </si>
  <si>
    <t>PID1208</t>
  </si>
  <si>
    <t>ORD00871</t>
  </si>
  <si>
    <t>2024-07-08</t>
  </si>
  <si>
    <t>PID1223</t>
  </si>
  <si>
    <t>ORD00616</t>
  </si>
  <si>
    <t>2025-05-27</t>
  </si>
  <si>
    <t>PID1229</t>
  </si>
  <si>
    <t>ORD00189</t>
  </si>
  <si>
    <t>2024-04-25</t>
  </si>
  <si>
    <t>PID1230</t>
  </si>
  <si>
    <t>ORD00336</t>
  </si>
  <si>
    <t>2025-05-03</t>
  </si>
  <si>
    <t>ORD00202</t>
  </si>
  <si>
    <t>2024-10-09</t>
  </si>
  <si>
    <t>PID1256</t>
  </si>
  <si>
    <t>ORD00679</t>
  </si>
  <si>
    <t>2024-04-06</t>
  </si>
  <si>
    <t>PID1266</t>
  </si>
  <si>
    <t>ORD00898</t>
  </si>
  <si>
    <t>2025-08-17</t>
  </si>
  <si>
    <t>PID1281</t>
  </si>
  <si>
    <t>ORD00477</t>
  </si>
  <si>
    <t>2024-08-04</t>
  </si>
  <si>
    <t>PID1301</t>
  </si>
  <si>
    <t>ORD00389</t>
  </si>
  <si>
    <t>2025-07-05</t>
  </si>
  <si>
    <t>PID1305</t>
  </si>
  <si>
    <t>ORD00555</t>
  </si>
  <si>
    <t>PID1307</t>
  </si>
  <si>
    <t>ORD00613</t>
  </si>
  <si>
    <t>2024-08-02</t>
  </si>
  <si>
    <t>PID1308</t>
  </si>
  <si>
    <t>ORD00562</t>
  </si>
  <si>
    <t>2024-06-01</t>
  </si>
  <si>
    <t>PID1312</t>
  </si>
  <si>
    <t>ORD00799</t>
  </si>
  <si>
    <t>2025-03-27</t>
  </si>
  <si>
    <t>PID1324</t>
  </si>
  <si>
    <t>ORD00304</t>
  </si>
  <si>
    <t>2025-10-28</t>
  </si>
  <si>
    <t>PID1328</t>
  </si>
  <si>
    <t>ORD00480</t>
  </si>
  <si>
    <t>2025-09-03</t>
  </si>
  <si>
    <t>PID1352</t>
  </si>
  <si>
    <t>ORD00656</t>
  </si>
  <si>
    <t>2024-07-05</t>
  </si>
  <si>
    <t>PID1376</t>
  </si>
  <si>
    <t>ORD00769</t>
  </si>
  <si>
    <t>2025-03-05</t>
  </si>
  <si>
    <t>PID1380</t>
  </si>
  <si>
    <t>ORD00506</t>
  </si>
  <si>
    <t>2024-07-03</t>
  </si>
  <si>
    <t>PID1392</t>
  </si>
  <si>
    <t>ORD00762</t>
  </si>
  <si>
    <t>2025-04-23</t>
  </si>
  <si>
    <t>PID1404</t>
  </si>
  <si>
    <t>ORD00738</t>
  </si>
  <si>
    <t>2025-03-06</t>
  </si>
  <si>
    <t>PID1415</t>
  </si>
  <si>
    <t>ORD00055</t>
  </si>
  <si>
    <t>2025-09-12</t>
  </si>
  <si>
    <t>PID1420</t>
  </si>
  <si>
    <t>ORD00177</t>
  </si>
  <si>
    <t>2025-01-12</t>
  </si>
  <si>
    <t>PID1436</t>
  </si>
  <si>
    <t>ORD00631</t>
  </si>
  <si>
    <t>2025-08-27</t>
  </si>
  <si>
    <t>PID1440</t>
  </si>
  <si>
    <t>ORD00739</t>
  </si>
  <si>
    <t>2024-09-12</t>
  </si>
  <si>
    <t>PID1456</t>
  </si>
  <si>
    <t>ORD00294</t>
  </si>
  <si>
    <t>2024-06-29</t>
  </si>
  <si>
    <t>PID1462</t>
  </si>
  <si>
    <t>ORD00165</t>
  </si>
  <si>
    <t>2025-11-05</t>
  </si>
  <si>
    <t>PID1464</t>
  </si>
  <si>
    <t>ORD00604</t>
  </si>
  <si>
    <t>PID1466</t>
  </si>
  <si>
    <t>ORD00115</t>
  </si>
  <si>
    <t>2025-09-28</t>
  </si>
  <si>
    <t>PID1474</t>
  </si>
  <si>
    <t>ORD00625</t>
  </si>
  <si>
    <t>2024-04-20</t>
  </si>
  <si>
    <t>PID1486</t>
  </si>
  <si>
    <t>ORD00285</t>
  </si>
  <si>
    <t>2025-02-09</t>
  </si>
  <si>
    <t>PID1509</t>
  </si>
  <si>
    <t>ORD00017</t>
  </si>
  <si>
    <t>2024-08-13</t>
  </si>
  <si>
    <t>PID1514</t>
  </si>
  <si>
    <t>ORD00944</t>
  </si>
  <si>
    <t>PID1515</t>
  </si>
  <si>
    <t>ORD00903</t>
  </si>
  <si>
    <t>2024-12-11</t>
  </si>
  <si>
    <t>PID1526</t>
  </si>
  <si>
    <t>ORD00250</t>
  </si>
  <si>
    <t>2024-08-11</t>
  </si>
  <si>
    <t>PID1528</t>
  </si>
  <si>
    <t>ORD00070</t>
  </si>
  <si>
    <t>2024-03-17</t>
  </si>
  <si>
    <t>PID1534</t>
  </si>
  <si>
    <t>ORD00248</t>
  </si>
  <si>
    <t>2025-05-15</t>
  </si>
  <si>
    <t>PID1535</t>
  </si>
  <si>
    <t>ORD00628</t>
  </si>
  <si>
    <t>PID1538</t>
  </si>
  <si>
    <t>ORD00447</t>
  </si>
  <si>
    <t>2024-05-04</t>
  </si>
  <si>
    <t>PID1549</t>
  </si>
  <si>
    <t>ORD00826</t>
  </si>
  <si>
    <t>2025-11-27</t>
  </si>
  <si>
    <t>PID1562</t>
  </si>
  <si>
    <t>ORD00593</t>
  </si>
  <si>
    <t>2024-11-20</t>
  </si>
  <si>
    <t>PID1568</t>
  </si>
  <si>
    <t>ORD00274</t>
  </si>
  <si>
    <t>2024-09-07</t>
  </si>
  <si>
    <t>PID1579</t>
  </si>
  <si>
    <t>ORD00509</t>
  </si>
  <si>
    <t>2024-07-17</t>
  </si>
  <si>
    <t>PID1582</t>
  </si>
  <si>
    <t>ORD00031</t>
  </si>
  <si>
    <t>2024-01-10</t>
  </si>
  <si>
    <t>PID1590</t>
  </si>
  <si>
    <t>ORD00076</t>
  </si>
  <si>
    <t>2024-06-13</t>
  </si>
  <si>
    <t>PID1601</t>
  </si>
  <si>
    <t>ORD00642</t>
  </si>
  <si>
    <t>2024-01-29</t>
  </si>
  <si>
    <t>PID1606</t>
  </si>
  <si>
    <t>ORD00911</t>
  </si>
  <si>
    <t>2025-05-30</t>
  </si>
  <si>
    <t>PID1612</t>
  </si>
  <si>
    <t>ORD00316</t>
  </si>
  <si>
    <t>2024-12-18</t>
  </si>
  <si>
    <t>PID1613</t>
  </si>
  <si>
    <t>ORD00568</t>
  </si>
  <si>
    <t>2024-05-26</t>
  </si>
  <si>
    <t>PID1616</t>
  </si>
  <si>
    <t>ORD00411</t>
  </si>
  <si>
    <t>2024-05-28</t>
  </si>
  <si>
    <t>PID1618</t>
  </si>
  <si>
    <t>ORD00034</t>
  </si>
  <si>
    <t>2025-02-25</t>
  </si>
  <si>
    <t>PID1634</t>
  </si>
  <si>
    <t>ORD00073</t>
  </si>
  <si>
    <t>2025-12-17</t>
  </si>
  <si>
    <t>PID1653</t>
  </si>
  <si>
    <t>ORD00053</t>
  </si>
  <si>
    <t>2025-04-26</t>
  </si>
  <si>
    <t>PID1659</t>
  </si>
  <si>
    <t>ORD00074</t>
  </si>
  <si>
    <t>2024-04-03</t>
  </si>
  <si>
    <t>ORD00583</t>
  </si>
  <si>
    <t>2024-12-09</t>
  </si>
  <si>
    <t>PID1669</t>
  </si>
  <si>
    <t>ORD00129</t>
  </si>
  <si>
    <t>2025-09-21</t>
  </si>
  <si>
    <t>PID1672</t>
  </si>
  <si>
    <t>ORD00663</t>
  </si>
  <si>
    <t>2025-05-31</t>
  </si>
  <si>
    <t>PID1673</t>
  </si>
  <si>
    <t>ORD00960</t>
  </si>
  <si>
    <t>PID1705</t>
  </si>
  <si>
    <t>ORD00737</t>
  </si>
  <si>
    <t>2025-02-20</t>
  </si>
  <si>
    <t>PID1712</t>
  </si>
  <si>
    <t>ORD00203</t>
  </si>
  <si>
    <t>2025-08-31</t>
  </si>
  <si>
    <t>PID1724</t>
  </si>
  <si>
    <t>ORD00147</t>
  </si>
  <si>
    <t>2024-12-19</t>
  </si>
  <si>
    <t>PID1726</t>
  </si>
  <si>
    <t>ORD00678</t>
  </si>
  <si>
    <t>2024-09-11</t>
  </si>
  <si>
    <t>PID1738</t>
  </si>
  <si>
    <t>ORD00379</t>
  </si>
  <si>
    <t>2024-01-18</t>
  </si>
  <si>
    <t>PID1745</t>
  </si>
  <si>
    <t>ORD00591</t>
  </si>
  <si>
    <t>2024-06-24</t>
  </si>
  <si>
    <t>PID1775</t>
  </si>
  <si>
    <t>ORD00428</t>
  </si>
  <si>
    <t>PID1781</t>
  </si>
  <si>
    <t>ORD00093</t>
  </si>
  <si>
    <t>PID1803</t>
  </si>
  <si>
    <t>ORD00471</t>
  </si>
  <si>
    <t>2024-10-23</t>
  </si>
  <si>
    <t>PID1807</t>
  </si>
  <si>
    <t>ORD00520</t>
  </si>
  <si>
    <t>2024-12-12</t>
  </si>
  <si>
    <t>PID1826</t>
  </si>
  <si>
    <t>ORD00066</t>
  </si>
  <si>
    <t>PID1841</t>
  </si>
  <si>
    <t>ORD00410</t>
  </si>
  <si>
    <t>2025-04-02</t>
  </si>
  <si>
    <t>PID1852</t>
  </si>
  <si>
    <t>ORD00828</t>
  </si>
  <si>
    <t>2024-12-07</t>
  </si>
  <si>
    <t>PID1861</t>
  </si>
  <si>
    <t>ORD00717</t>
  </si>
  <si>
    <t>2025-10-22</t>
  </si>
  <si>
    <t>PID1866</t>
  </si>
  <si>
    <t>ORD00019</t>
  </si>
  <si>
    <t>PID1887</t>
  </si>
  <si>
    <t>ORD00992</t>
  </si>
  <si>
    <t>2025-11-17</t>
  </si>
  <si>
    <t>PID1890</t>
  </si>
  <si>
    <t>ORD00740</t>
  </si>
  <si>
    <t>2025-10-03</t>
  </si>
  <si>
    <t>PID1891</t>
  </si>
  <si>
    <t>ORD00065</t>
  </si>
  <si>
    <t>2025-01-04</t>
  </si>
  <si>
    <t>PID1893</t>
  </si>
  <si>
    <t>ORD00307</t>
  </si>
  <si>
    <t>2024-08-31</t>
  </si>
  <si>
    <t>ORD00293</t>
  </si>
  <si>
    <t>2024-04-12</t>
  </si>
  <si>
    <t>PID1916</t>
  </si>
  <si>
    <t>ORD00468</t>
  </si>
  <si>
    <t>2024-04-07</t>
  </si>
  <si>
    <t>ORD00510</t>
  </si>
  <si>
    <t>2025-10-04</t>
  </si>
  <si>
    <t>PID1917</t>
  </si>
  <si>
    <t>ORD00905</t>
  </si>
  <si>
    <t>2024-10-05</t>
  </si>
  <si>
    <t>ORD00598</t>
  </si>
  <si>
    <t>2025-04-01</t>
  </si>
  <si>
    <t>PID1918</t>
  </si>
  <si>
    <t>ORD00128</t>
  </si>
  <si>
    <t>2025-08-28</t>
  </si>
  <si>
    <t>PID1932</t>
  </si>
  <si>
    <t>ORD00852</t>
  </si>
  <si>
    <t>2024-11-16</t>
  </si>
  <si>
    <t>PID1940</t>
  </si>
  <si>
    <t>ORD00334</t>
  </si>
  <si>
    <t>2024-11-19</t>
  </si>
  <si>
    <t>PID1950</t>
  </si>
  <si>
    <t>ORD00504</t>
  </si>
  <si>
    <t>2025-12-12</t>
  </si>
  <si>
    <t>PID1953</t>
  </si>
  <si>
    <t>ORD00575</t>
  </si>
  <si>
    <t>2025-04-13</t>
  </si>
  <si>
    <t>PID1977</t>
  </si>
  <si>
    <t>ORD00451</t>
  </si>
  <si>
    <t>PID1983</t>
  </si>
  <si>
    <t>ORD00198</t>
  </si>
  <si>
    <t>2024-01-04</t>
  </si>
  <si>
    <t>PID1987</t>
  </si>
  <si>
    <t>ORD00741</t>
  </si>
  <si>
    <t>2025-09-26</t>
  </si>
  <si>
    <t>PID1994</t>
  </si>
  <si>
    <t>ORD00993</t>
  </si>
  <si>
    <t>PID1997</t>
  </si>
  <si>
    <t>ORD00144</t>
  </si>
  <si>
    <t>2024-11-04</t>
  </si>
  <si>
    <t>PID2029</t>
  </si>
  <si>
    <t>ORD00786</t>
  </si>
  <si>
    <t>2024-01-17</t>
  </si>
  <si>
    <t>PID2035</t>
  </si>
  <si>
    <t>ORD00016</t>
  </si>
  <si>
    <t>2025-11-18</t>
  </si>
  <si>
    <t>PID2049</t>
  </si>
  <si>
    <t>ORD00503</t>
  </si>
  <si>
    <t>2024-11-02</t>
  </si>
  <si>
    <t>PID2063</t>
  </si>
  <si>
    <t>ORD00586</t>
  </si>
  <si>
    <t>2025-11-25</t>
  </si>
  <si>
    <t>PID2075</t>
  </si>
  <si>
    <t>ORD00269</t>
  </si>
  <si>
    <t>2024-11-13</t>
  </si>
  <si>
    <t>PID2083</t>
  </si>
  <si>
    <t>ORD00895</t>
  </si>
  <si>
    <t>2024-05-31</t>
  </si>
  <si>
    <t>PID2102</t>
  </si>
  <si>
    <t>ORD00267</t>
  </si>
  <si>
    <t>2025-07-13</t>
  </si>
  <si>
    <t>PID2106</t>
  </si>
  <si>
    <t>ORD00127</t>
  </si>
  <si>
    <t>2025-08-16</t>
  </si>
  <si>
    <t>PID2118</t>
  </si>
  <si>
    <t>ORD00024</t>
  </si>
  <si>
    <t>2025-08-21</t>
  </si>
  <si>
    <t>PID2122</t>
  </si>
  <si>
    <t>ORD00772</t>
  </si>
  <si>
    <t>2024-07-22</t>
  </si>
  <si>
    <t>PID2146</t>
  </si>
  <si>
    <t>ORD00460</t>
  </si>
  <si>
    <t>2025-03-01</t>
  </si>
  <si>
    <t>PID2153</t>
  </si>
  <si>
    <t>ORD00525</t>
  </si>
  <si>
    <t>2025-08-11</t>
  </si>
  <si>
    <t>PID2162</t>
  </si>
  <si>
    <t>ORD00332</t>
  </si>
  <si>
    <t>2024-10-28</t>
  </si>
  <si>
    <t>PID2166</t>
  </si>
  <si>
    <t>ORD00802</t>
  </si>
  <si>
    <t>2025-02-18</t>
  </si>
  <si>
    <t>PID2167</t>
  </si>
  <si>
    <t>ORD00006</t>
  </si>
  <si>
    <t>2025-10-12</t>
  </si>
  <si>
    <t>PID2169</t>
  </si>
  <si>
    <t>ORD00416</t>
  </si>
  <si>
    <t>2025-02-17</t>
  </si>
  <si>
    <t>PID2185</t>
  </si>
  <si>
    <t>ORD00026</t>
  </si>
  <si>
    <t>2024-09-01</t>
  </si>
  <si>
    <t>PID2188</t>
  </si>
  <si>
    <t>ORD00043</t>
  </si>
  <si>
    <t>PID2193</t>
  </si>
  <si>
    <t>ORD00126</t>
  </si>
  <si>
    <t>2024-05-29</t>
  </si>
  <si>
    <t>PID2234</t>
  </si>
  <si>
    <t>ORD00894</t>
  </si>
  <si>
    <t>2024-04-16</t>
  </si>
  <si>
    <t>PID2251</t>
  </si>
  <si>
    <t>ORD00607</t>
  </si>
  <si>
    <t>PID2258</t>
  </si>
  <si>
    <t>ORD00230</t>
  </si>
  <si>
    <t>PID2260</t>
  </si>
  <si>
    <t>ORD00272</t>
  </si>
  <si>
    <t>2024-01-31</t>
  </si>
  <si>
    <t>PID2262</t>
  </si>
  <si>
    <t>ORD00395</t>
  </si>
  <si>
    <t>2025-07-11</t>
  </si>
  <si>
    <t>PID2275</t>
  </si>
  <si>
    <t>ORD00538</t>
  </si>
  <si>
    <t>2024-03-21</t>
  </si>
  <si>
    <t>PID2279</t>
  </si>
  <si>
    <t>ORD00014</t>
  </si>
  <si>
    <t>2024-04-24</t>
  </si>
  <si>
    <t>PID2290</t>
  </si>
  <si>
    <t>ORD00792</t>
  </si>
  <si>
    <t>PID2300</t>
  </si>
  <si>
    <t>ORD00459</t>
  </si>
  <si>
    <t>2024-08-14</t>
  </si>
  <si>
    <t>PID2310</t>
  </si>
  <si>
    <t>ORD00434</t>
  </si>
  <si>
    <t>2024-01-24</t>
  </si>
  <si>
    <t>PID2311</t>
  </si>
  <si>
    <t>ORD00537</t>
  </si>
  <si>
    <t>2024-02-08</t>
  </si>
  <si>
    <t>ORD00219</t>
  </si>
  <si>
    <t>2025-02-19</t>
  </si>
  <si>
    <t>PID2320</t>
  </si>
  <si>
    <t>ORD00069</t>
  </si>
  <si>
    <t>2025-09-27</t>
  </si>
  <si>
    <t>PID2330</t>
  </si>
  <si>
    <t>ORD00435</t>
  </si>
  <si>
    <t>PID2363</t>
  </si>
  <si>
    <t>ORD00051</t>
  </si>
  <si>
    <t>PID2375</t>
  </si>
  <si>
    <t>ORD00280</t>
  </si>
  <si>
    <t>2024-08-25</t>
  </si>
  <si>
    <t>PID2391</t>
  </si>
  <si>
    <t>ORD00888</t>
  </si>
  <si>
    <t>2024-01-14</t>
  </si>
  <si>
    <t>PID2392</t>
  </si>
  <si>
    <t>ORD00400</t>
  </si>
  <si>
    <t>2025-06-13</t>
  </si>
  <si>
    <t>PID2404</t>
  </si>
  <si>
    <t>ORD00475</t>
  </si>
  <si>
    <t>2024-02-15</t>
  </si>
  <si>
    <t>PID2405</t>
  </si>
  <si>
    <t>ORD00684</t>
  </si>
  <si>
    <t>2025-10-27</t>
  </si>
  <si>
    <t>PID2410</t>
  </si>
  <si>
    <t>ORD00516</t>
  </si>
  <si>
    <t>2025-04-15</t>
  </si>
  <si>
    <t>PID2426</t>
  </si>
  <si>
    <t>ORD00872</t>
  </si>
  <si>
    <t>2025-01-05</t>
  </si>
  <si>
    <t>PID2429</t>
  </si>
  <si>
    <t>ORD00839</t>
  </si>
  <si>
    <t>PID2438</t>
  </si>
  <si>
    <t>ORD00601</t>
  </si>
  <si>
    <t>2024-11-06</t>
  </si>
  <si>
    <t>PID2449</t>
  </si>
  <si>
    <t>ORD00716</t>
  </si>
  <si>
    <t>2025-02-08</t>
  </si>
  <si>
    <t>PID2450</t>
  </si>
  <si>
    <t>ORD00915</t>
  </si>
  <si>
    <t>2024-11-17</t>
  </si>
  <si>
    <t>PID2461</t>
  </si>
  <si>
    <t>ORD00473</t>
  </si>
  <si>
    <t>2025-09-22</t>
  </si>
  <si>
    <t>PID2467</t>
  </si>
  <si>
    <t>ORD00644</t>
  </si>
  <si>
    <t>2025-09-08</t>
  </si>
  <si>
    <t>PID2479</t>
  </si>
  <si>
    <t>ORD00580</t>
  </si>
  <si>
    <t>2025-07-25</t>
  </si>
  <si>
    <t>PID2486</t>
  </si>
  <si>
    <t>ORD00196</t>
  </si>
  <si>
    <t>2024-12-01</t>
  </si>
  <si>
    <t>PID2489</t>
  </si>
  <si>
    <t>ORD00103</t>
  </si>
  <si>
    <t>2025-02-11</t>
  </si>
  <si>
    <t>PID2501</t>
  </si>
  <si>
    <t>ORD00796</t>
  </si>
  <si>
    <t>2024-03-12</t>
  </si>
  <si>
    <t>PID2503</t>
  </si>
  <si>
    <t>ORD00636</t>
  </si>
  <si>
    <t>2024-09-28</t>
  </si>
  <si>
    <t>PID2506</t>
  </si>
  <si>
    <t>ORD00254</t>
  </si>
  <si>
    <t>2025-05-16</t>
  </si>
  <si>
    <t>PID2525</t>
  </si>
  <si>
    <t>ORD00305</t>
  </si>
  <si>
    <t>2024-12-16</t>
  </si>
  <si>
    <t>ORD00021</t>
  </si>
  <si>
    <t>2025-03-29</t>
  </si>
  <si>
    <t>PID2528</t>
  </si>
  <si>
    <t>ORD00626</t>
  </si>
  <si>
    <t>PID2578</t>
  </si>
  <si>
    <t>ORD00239</t>
  </si>
  <si>
    <t>2024-11-15</t>
  </si>
  <si>
    <t>PID2599</t>
  </si>
  <si>
    <t>ORD00330</t>
  </si>
  <si>
    <t>2025-06-03</t>
  </si>
  <si>
    <t>ORD00405</t>
  </si>
  <si>
    <t>2025-03-15</t>
  </si>
  <si>
    <t>PID2600</t>
  </si>
  <si>
    <t>ORD00634</t>
  </si>
  <si>
    <t>2025-12-13</t>
  </si>
  <si>
    <t>PID2601</t>
  </si>
  <si>
    <t>ORD00579</t>
  </si>
  <si>
    <t>2024-02-11</t>
  </si>
  <si>
    <t>PID2605</t>
  </si>
  <si>
    <t>ORD00318</t>
  </si>
  <si>
    <t>2024-01-21</t>
  </si>
  <si>
    <t>PID2609</t>
  </si>
  <si>
    <t>ORD00101</t>
  </si>
  <si>
    <t>PID2622</t>
  </si>
  <si>
    <t>ORD00102</t>
  </si>
  <si>
    <t>2025-12-07</t>
  </si>
  <si>
    <t>PID2627</t>
  </si>
  <si>
    <t>ORD00315</t>
  </si>
  <si>
    <t>PID2641</t>
  </si>
  <si>
    <t>ORD00263</t>
  </si>
  <si>
    <t>PID2646</t>
  </si>
  <si>
    <t>ORD00345</t>
  </si>
  <si>
    <t>2025-08-10</t>
  </si>
  <si>
    <t>PID2659</t>
  </si>
  <si>
    <t>ORD00622</t>
  </si>
  <si>
    <t>2025-06-19</t>
  </si>
  <si>
    <t>PID2666</t>
  </si>
  <si>
    <t>ORD00742</t>
  </si>
  <si>
    <t>2024-05-10</t>
  </si>
  <si>
    <t>PID2668</t>
  </si>
  <si>
    <t>ORD00261</t>
  </si>
  <si>
    <t>2025-12-11</t>
  </si>
  <si>
    <t>PID2678</t>
  </si>
  <si>
    <t>ORD00001</t>
  </si>
  <si>
    <t>2025-10-16</t>
  </si>
  <si>
    <t>PID2679</t>
  </si>
  <si>
    <t>ORD00366</t>
  </si>
  <si>
    <t>2025-12-08</t>
  </si>
  <si>
    <t>ORD00941</t>
  </si>
  <si>
    <t>2025-11-06</t>
  </si>
  <si>
    <t>PID2694</t>
  </si>
  <si>
    <t>ORD00028</t>
  </si>
  <si>
    <t>2025-07-10</t>
  </si>
  <si>
    <t>PID2697</t>
  </si>
  <si>
    <t>ORD00462</t>
  </si>
  <si>
    <t>2025-10-15</t>
  </si>
  <si>
    <t>PID2705</t>
  </si>
  <si>
    <t>ORD00681</t>
  </si>
  <si>
    <t>2024-07-10</t>
  </si>
  <si>
    <t>PID2742</t>
  </si>
  <si>
    <t>ORD00044</t>
  </si>
  <si>
    <t>2025-05-21</t>
  </si>
  <si>
    <t>PID2746</t>
  </si>
  <si>
    <t>ORD00858</t>
  </si>
  <si>
    <t>2025-05-14</t>
  </si>
  <si>
    <t>PID2755</t>
  </si>
  <si>
    <t>ORD00108</t>
  </si>
  <si>
    <t>PID2768</t>
  </si>
  <si>
    <t>ORD00302</t>
  </si>
  <si>
    <t>2024-01-12</t>
  </si>
  <si>
    <t>PID2770</t>
  </si>
  <si>
    <t>ORD00282</t>
  </si>
  <si>
    <t>2025-04-08</t>
  </si>
  <si>
    <t>PID2785</t>
  </si>
  <si>
    <t>ORD00107</t>
  </si>
  <si>
    <t>2025-06-22</t>
  </si>
  <si>
    <t>PID2786</t>
  </si>
  <si>
    <t>ORD00810</t>
  </si>
  <si>
    <t>2024-03-01</t>
  </si>
  <si>
    <t>PID2789</t>
  </si>
  <si>
    <t>ORD00809</t>
  </si>
  <si>
    <t>PID2806</t>
  </si>
  <si>
    <t>ORD00773</t>
  </si>
  <si>
    <t>PID2814</t>
  </si>
  <si>
    <t>ORD00754</t>
  </si>
  <si>
    <t>2024-09-25</t>
  </si>
  <si>
    <t>PID2818</t>
  </si>
  <si>
    <t>ORD00587</t>
  </si>
  <si>
    <t>2025-02-04</t>
  </si>
  <si>
    <t>PID2835</t>
  </si>
  <si>
    <t>ORD00195</t>
  </si>
  <si>
    <t>PID2838</t>
  </si>
  <si>
    <t>ORD00449</t>
  </si>
  <si>
    <t>2025-05-07</t>
  </si>
  <si>
    <t>PID2850</t>
  </si>
  <si>
    <t>ORD00374</t>
  </si>
  <si>
    <t>2025-10-19</t>
  </si>
  <si>
    <t>PID2857</t>
  </si>
  <si>
    <t>ORD00156</t>
  </si>
  <si>
    <t>PID2858</t>
  </si>
  <si>
    <t>ORD00110</t>
  </si>
  <si>
    <t>2025-06-27</t>
  </si>
  <si>
    <t>PID2874</t>
  </si>
  <si>
    <t>ORD00518</t>
  </si>
  <si>
    <t>2025-06-29</t>
  </si>
  <si>
    <t>PID2875</t>
  </si>
  <si>
    <t>ORD00114</t>
  </si>
  <si>
    <t>2025-11-03</t>
  </si>
  <si>
    <t>PID2882</t>
  </si>
  <si>
    <t>ORD00273</t>
  </si>
  <si>
    <t>PID2889</t>
  </si>
  <si>
    <t>ORD00688</t>
  </si>
  <si>
    <t>2025-08-13</t>
  </si>
  <si>
    <t>PID2915</t>
  </si>
  <si>
    <t>ORD00838</t>
  </si>
  <si>
    <t>PID2922</t>
  </si>
  <si>
    <t>ORD00856</t>
  </si>
  <si>
    <t>2024-06-23</t>
  </si>
  <si>
    <t>PID2931</t>
  </si>
  <si>
    <t>ORD00397</t>
  </si>
  <si>
    <t>2024-08-23</t>
  </si>
  <si>
    <t>PID2938</t>
  </si>
  <si>
    <t>ORD00878</t>
  </si>
  <si>
    <t>2025-04-11</t>
  </si>
  <si>
    <t>PID2951</t>
  </si>
  <si>
    <t>ORD00056</t>
  </si>
  <si>
    <t>2024-03-18</t>
  </si>
  <si>
    <t>PID2983</t>
  </si>
  <si>
    <t>ORD00958</t>
  </si>
  <si>
    <t>PID2989</t>
  </si>
  <si>
    <t>ORD00670</t>
  </si>
  <si>
    <t>2024-03-19</t>
  </si>
  <si>
    <t>PID2998</t>
  </si>
  <si>
    <t>ORD00341</t>
  </si>
  <si>
    <t>2024-02-19</t>
  </si>
  <si>
    <t>PID3024</t>
  </si>
  <si>
    <t>ORD00257</t>
  </si>
  <si>
    <t>2025-11-29</t>
  </si>
  <si>
    <t>PID3035</t>
  </si>
  <si>
    <t>ORD00745</t>
  </si>
  <si>
    <t>PID3064</t>
  </si>
  <si>
    <t>ORD00938</t>
  </si>
  <si>
    <t>2024-06-26</t>
  </si>
  <si>
    <t>PID3069</t>
  </si>
  <si>
    <t>ORD00436</t>
  </si>
  <si>
    <t>2025-11-01</t>
  </si>
  <si>
    <t>PID3071</t>
  </si>
  <si>
    <t>ORD00746</t>
  </si>
  <si>
    <t>PID3091</t>
  </si>
  <si>
    <t>ORD00385</t>
  </si>
  <si>
    <t>2024-09-13</t>
  </si>
  <si>
    <t>PID3100</t>
  </si>
  <si>
    <t>ORD00133</t>
  </si>
  <si>
    <t>2025-08-19</t>
  </si>
  <si>
    <t>PID3112</t>
  </si>
  <si>
    <t>ORD00672</t>
  </si>
  <si>
    <t>2025-11-02</t>
  </si>
  <si>
    <t>PID3118</t>
  </si>
  <si>
    <t>ORD00910</t>
  </si>
  <si>
    <t>2024-10-16</t>
  </si>
  <si>
    <t>PID3122</t>
  </si>
  <si>
    <t>ORD00160</t>
  </si>
  <si>
    <t>2024-05-22</t>
  </si>
  <si>
    <t>PID3126</t>
  </si>
  <si>
    <t>ORD00457</t>
  </si>
  <si>
    <t>2025-10-18</t>
  </si>
  <si>
    <t>ORD00708</t>
  </si>
  <si>
    <t>2024-04-10</t>
  </si>
  <si>
    <t>PID3130</t>
  </si>
  <si>
    <t>ORD00350</t>
  </si>
  <si>
    <t>2025-01-23</t>
  </si>
  <si>
    <t>PID3140</t>
  </si>
  <si>
    <t>ORD00426</t>
  </si>
  <si>
    <t>PID3148</t>
  </si>
  <si>
    <t>ORD00522</t>
  </si>
  <si>
    <t>2024-07-21</t>
  </si>
  <si>
    <t>PID3159</t>
  </si>
  <si>
    <t>ORD00588</t>
  </si>
  <si>
    <t>2024-07-28</t>
  </si>
  <si>
    <t>PID3163</t>
  </si>
  <si>
    <t>ORD00879</t>
  </si>
  <si>
    <t>PID3178</t>
  </si>
  <si>
    <t>ORD00842</t>
  </si>
  <si>
    <t>2024-08-30</t>
  </si>
  <si>
    <t>PID3198</t>
  </si>
  <si>
    <t>ORD00606</t>
  </si>
  <si>
    <t>2025-08-12</t>
  </si>
  <si>
    <t>PID3219</t>
  </si>
  <si>
    <t>ORD00081</t>
  </si>
  <si>
    <t>2025-07-18</t>
  </si>
  <si>
    <t>PID3236</t>
  </si>
  <si>
    <t>ORD00094</t>
  </si>
  <si>
    <t>2025-09-13</t>
  </si>
  <si>
    <t>PID3240</t>
  </si>
  <si>
    <t>ORD00342</t>
  </si>
  <si>
    <t>2024-07-29</t>
  </si>
  <si>
    <t>PID3247</t>
  </si>
  <si>
    <t>ORD00120</t>
  </si>
  <si>
    <t>PID3248</t>
  </si>
  <si>
    <t>ORD00482</t>
  </si>
  <si>
    <t>2025-01-31</t>
  </si>
  <si>
    <t>ORD00139</t>
  </si>
  <si>
    <t>2025-01-26</t>
  </si>
  <si>
    <t>PID3267</t>
  </si>
  <si>
    <t>ORD00229</t>
  </si>
  <si>
    <t>2024-03-27</t>
  </si>
  <si>
    <t>PID3274</t>
  </si>
  <si>
    <t>ORD00727</t>
  </si>
  <si>
    <t>2024-06-14</t>
  </si>
  <si>
    <t>PID3288</t>
  </si>
  <si>
    <t>ORD00116</t>
  </si>
  <si>
    <t>2024-12-25</t>
  </si>
  <si>
    <t>PID3324</t>
  </si>
  <si>
    <t>ORD00279</t>
  </si>
  <si>
    <t>PID3332</t>
  </si>
  <si>
    <t>ORD00612</t>
  </si>
  <si>
    <t>2025-12-27</t>
  </si>
  <si>
    <t>ORD00807</t>
  </si>
  <si>
    <t>2024-11-11</t>
  </si>
  <si>
    <t>PID3338</t>
  </si>
  <si>
    <t>ORD00900</t>
  </si>
  <si>
    <t>PID3344</t>
  </si>
  <si>
    <t>ORD00222</t>
  </si>
  <si>
    <t>2025-07-31</t>
  </si>
  <si>
    <t>PID3362</t>
  </si>
  <si>
    <t>ORD00174</t>
  </si>
  <si>
    <t>2024-04-09</t>
  </si>
  <si>
    <t>PID3363</t>
  </si>
  <si>
    <t>ORD00648</t>
  </si>
  <si>
    <t>2025-07-12</t>
  </si>
  <si>
    <t>PID3374</t>
  </si>
  <si>
    <t>ORD00392</t>
  </si>
  <si>
    <t>2024-05-23</t>
  </si>
  <si>
    <t>PID3395</t>
  </si>
  <si>
    <t>ORD00399</t>
  </si>
  <si>
    <t>PID3406</t>
  </si>
  <si>
    <t>ORD00701</t>
  </si>
  <si>
    <t>2024-11-07</t>
  </si>
  <si>
    <t>ORD00901</t>
  </si>
  <si>
    <t>2024-02-25</t>
  </si>
  <si>
    <t>ORD00595</t>
  </si>
  <si>
    <t>2024-01-05</t>
  </si>
  <si>
    <t>PID3409</t>
  </si>
  <si>
    <t>ORD00982</t>
  </si>
  <si>
    <t>2025-04-10</t>
  </si>
  <si>
    <t>PID3410</t>
  </si>
  <si>
    <t>ORD00668</t>
  </si>
  <si>
    <t>2025-03-28</t>
  </si>
  <si>
    <t>PID3425</t>
  </si>
  <si>
    <t>ORD00833</t>
  </si>
  <si>
    <t>2024-07-02</t>
  </si>
  <si>
    <t>PID3434</t>
  </si>
  <si>
    <t>ORD00390</t>
  </si>
  <si>
    <t>2024-08-05</t>
  </si>
  <si>
    <t>PID3435</t>
  </si>
  <si>
    <t>ORD00578</t>
  </si>
  <si>
    <t>2024-09-10</t>
  </si>
  <si>
    <t>PID3440</t>
  </si>
  <si>
    <t>ORD00657</t>
  </si>
  <si>
    <t>PID3445</t>
  </si>
  <si>
    <t>ORD00766</t>
  </si>
  <si>
    <t>ORD00427</t>
  </si>
  <si>
    <t>2024-08-29</t>
  </si>
  <si>
    <t>PID3450</t>
  </si>
  <si>
    <t>ORD00497</t>
  </si>
  <si>
    <t>2025-01-24</t>
  </si>
  <si>
    <t>PID3459</t>
  </si>
  <si>
    <t>ORD00084</t>
  </si>
  <si>
    <t>2024-02-14</t>
  </si>
  <si>
    <t>PID3492</t>
  </si>
  <si>
    <t>ORD00939</t>
  </si>
  <si>
    <t>2025-07-20</t>
  </si>
  <si>
    <t>PID3507</t>
  </si>
  <si>
    <t>ORD00936</t>
  </si>
  <si>
    <t>2025-11-20</t>
  </si>
  <si>
    <t>PID3512</t>
  </si>
  <si>
    <t>ORD00592</t>
  </si>
  <si>
    <t>2024-06-19</t>
  </si>
  <si>
    <t>PID3514</t>
  </si>
  <si>
    <t>ORD00859</t>
  </si>
  <si>
    <t>2024-12-29</t>
  </si>
  <si>
    <t>PID3518</t>
  </si>
  <si>
    <t>ORD00965</t>
  </si>
  <si>
    <t>PID3523</t>
  </si>
  <si>
    <t>ORD00456</t>
  </si>
  <si>
    <t>2024-03-05</t>
  </si>
  <si>
    <t>PID3525</t>
  </si>
  <si>
    <t>ORD00543</t>
  </si>
  <si>
    <t>2025-05-11</t>
  </si>
  <si>
    <t>ORD00720</t>
  </si>
  <si>
    <t>2024-04-27</t>
  </si>
  <si>
    <t>PID3526</t>
  </si>
  <si>
    <t>ORD00407</t>
  </si>
  <si>
    <t>2024-01-08</t>
  </si>
  <si>
    <t>PID3535</t>
  </si>
  <si>
    <t>ORD00994</t>
  </si>
  <si>
    <t>2024-05-27</t>
  </si>
  <si>
    <t>ORD00370</t>
  </si>
  <si>
    <t>2024-09-27</t>
  </si>
  <si>
    <t>PID3536</t>
  </si>
  <si>
    <t>ORD00883</t>
  </si>
  <si>
    <t>2024-11-28</t>
  </si>
  <si>
    <t>PID3550</t>
  </si>
  <si>
    <t>ORD00421</t>
  </si>
  <si>
    <t>PID3555</t>
  </si>
  <si>
    <t>ORD00576</t>
  </si>
  <si>
    <t>2025-04-14</t>
  </si>
  <si>
    <t>PID3568</t>
  </si>
  <si>
    <t>ORD00760</t>
  </si>
  <si>
    <t>2024-07-26</t>
  </si>
  <si>
    <t>PID3575</t>
  </si>
  <si>
    <t>ORD00448</t>
  </si>
  <si>
    <t>2025-11-12</t>
  </si>
  <si>
    <t>PID3598</t>
  </si>
  <si>
    <t>ORD00010</t>
  </si>
  <si>
    <t>2024-05-21</t>
  </si>
  <si>
    <t>PID3621</t>
  </si>
  <si>
    <t>ORD00877</t>
  </si>
  <si>
    <t>2025-06-05</t>
  </si>
  <si>
    <t>ORD00454</t>
  </si>
  <si>
    <t>PID3627</t>
  </si>
  <si>
    <t>ORD00652</t>
  </si>
  <si>
    <t>2025-04-27</t>
  </si>
  <si>
    <t>ORD00912</t>
  </si>
  <si>
    <t>PID3638</t>
  </si>
  <si>
    <t>ORD00805</t>
  </si>
  <si>
    <t>2025-09-11</t>
  </si>
  <si>
    <t>PID3644</t>
  </si>
  <si>
    <t>ORD00843</t>
  </si>
  <si>
    <t>2024-05-11</t>
  </si>
  <si>
    <t>PID3675</t>
  </si>
  <si>
    <t>ORD00240</t>
  </si>
  <si>
    <t>2024-11-03</t>
  </si>
  <si>
    <t>PID3692</t>
  </si>
  <si>
    <t>ORD00699</t>
  </si>
  <si>
    <t>ORD00929</t>
  </si>
  <si>
    <t>PID3721</t>
  </si>
  <si>
    <t>ORD00236</t>
  </si>
  <si>
    <t>2024-02-07</t>
  </si>
  <si>
    <t>PID3725</t>
  </si>
  <si>
    <t>ORD00271</t>
  </si>
  <si>
    <t>2024-06-16</t>
  </si>
  <si>
    <t>PID3735</t>
  </si>
  <si>
    <t>ORD00950</t>
  </si>
  <si>
    <t>2024-07-23</t>
  </si>
  <si>
    <t>PID3740</t>
  </si>
  <si>
    <t>ORD00832</t>
  </si>
  <si>
    <t>PID3756</t>
  </si>
  <si>
    <t>ORD00474</t>
  </si>
  <si>
    <t>2024-12-22</t>
  </si>
  <si>
    <t>PID3773</t>
  </si>
  <si>
    <t>ORD00089</t>
  </si>
  <si>
    <t>2025-03-17</t>
  </si>
  <si>
    <t>PID3785</t>
  </si>
  <si>
    <t>ORD00782</t>
  </si>
  <si>
    <t>2025-07-15</t>
  </si>
  <si>
    <t>PID3794</t>
  </si>
  <si>
    <t>ORD00563</t>
  </si>
  <si>
    <t>2024-01-15</t>
  </si>
  <si>
    <t>PID3796</t>
  </si>
  <si>
    <t>ORD00848</t>
  </si>
  <si>
    <t>2024-12-23</t>
  </si>
  <si>
    <t>PID3797</t>
  </si>
  <si>
    <t>ORD00180</t>
  </si>
  <si>
    <t>2025-06-15</t>
  </si>
  <si>
    <t>PID3837</t>
  </si>
  <si>
    <t>ORD00040</t>
  </si>
  <si>
    <t>PID3851</t>
  </si>
  <si>
    <t>ORD00159</t>
  </si>
  <si>
    <t>2025-07-09</t>
  </si>
  <si>
    <t>PID3852</t>
  </si>
  <si>
    <t>ORD00106</t>
  </si>
  <si>
    <t>2024-05-14</t>
  </si>
  <si>
    <t>PID3854</t>
  </si>
  <si>
    <t>ORD00692</t>
  </si>
  <si>
    <t>2025-07-24</t>
  </si>
  <si>
    <t>PID3862</t>
  </si>
  <si>
    <t>ORD00205</t>
  </si>
  <si>
    <t>PID3869</t>
  </si>
  <si>
    <t>ORD00412</t>
  </si>
  <si>
    <t>PID3871</t>
  </si>
  <si>
    <t>ORD00270</t>
  </si>
  <si>
    <t>PID3877</t>
  </si>
  <si>
    <t>ORD00388</t>
  </si>
  <si>
    <t>2025-05-06</t>
  </si>
  <si>
    <t>PID3879</t>
  </si>
  <si>
    <t>ORD00884</t>
  </si>
  <si>
    <t>PID3885</t>
  </si>
  <si>
    <t>ORD00797</t>
  </si>
  <si>
    <t>PID3890</t>
  </si>
  <si>
    <t>ORD00033</t>
  </si>
  <si>
    <t>2025-07-27</t>
  </si>
  <si>
    <t>PID3900</t>
  </si>
  <si>
    <t>ORD00502</t>
  </si>
  <si>
    <t>2025-03-02</t>
  </si>
  <si>
    <t>PID3906</t>
  </si>
  <si>
    <t>ORD00771</t>
  </si>
  <si>
    <t>2024-12-02</t>
  </si>
  <si>
    <t>PID3910</t>
  </si>
  <si>
    <t>ORD00363</t>
  </si>
  <si>
    <t>PID3913</t>
  </si>
  <si>
    <t>ORD00036</t>
  </si>
  <si>
    <t>2025-02-13</t>
  </si>
  <si>
    <t>PID3925</t>
  </si>
  <si>
    <t>ORD00498</t>
  </si>
  <si>
    <t>PID3960</t>
  </si>
  <si>
    <t>ORD00446</t>
  </si>
  <si>
    <t>2024-03-23</t>
  </si>
  <si>
    <t>PID3975</t>
  </si>
  <si>
    <t>ORD00401</t>
  </si>
  <si>
    <t>PID3979</t>
  </si>
  <si>
    <t>ORD00162</t>
  </si>
  <si>
    <t>PID3981</t>
  </si>
  <si>
    <t>ORD00300</t>
  </si>
  <si>
    <t>2024-01-02</t>
  </si>
  <si>
    <t>PID3983</t>
  </si>
  <si>
    <t>ORD00860</t>
  </si>
  <si>
    <t>2024-06-08</t>
  </si>
  <si>
    <t>PID3984</t>
  </si>
  <si>
    <t>ORD00713</t>
  </si>
  <si>
    <t>2025-08-26</t>
  </si>
  <si>
    <t>PID3999</t>
  </si>
  <si>
    <t>ORD00020</t>
  </si>
  <si>
    <t>2024-12-13</t>
  </si>
  <si>
    <t>PID4006</t>
  </si>
  <si>
    <t>ORD00653</t>
  </si>
  <si>
    <t>PID4010</t>
  </si>
  <si>
    <t>ORD00206</t>
  </si>
  <si>
    <t>PID4012</t>
  </si>
  <si>
    <t>ORD00383</t>
  </si>
  <si>
    <t>PID4014</t>
  </si>
  <si>
    <t>ORD00241</t>
  </si>
  <si>
    <t>2024-06-12</t>
  </si>
  <si>
    <t>PID4022</t>
  </si>
  <si>
    <t>ORD00551</t>
  </si>
  <si>
    <t>PID4027</t>
  </si>
  <si>
    <t>ORD00455</t>
  </si>
  <si>
    <t>2024-09-26</t>
  </si>
  <si>
    <t>PID4039</t>
  </si>
  <si>
    <t>ORD00602</t>
  </si>
  <si>
    <t>2024-06-28</t>
  </si>
  <si>
    <t>PID4047</t>
  </si>
  <si>
    <t>ORD00227</t>
  </si>
  <si>
    <t>2024-01-06</t>
  </si>
  <si>
    <t>PID4070</t>
  </si>
  <si>
    <t>ORD00908</t>
  </si>
  <si>
    <t>2025-07-08</t>
  </si>
  <si>
    <t>PID4075</t>
  </si>
  <si>
    <t>ORD00885</t>
  </si>
  <si>
    <t>PID4077</t>
  </si>
  <si>
    <t>ORD00964</t>
  </si>
  <si>
    <t>PID4078</t>
  </si>
  <si>
    <t>ORD00966</t>
  </si>
  <si>
    <t>2025-01-07</t>
  </si>
  <si>
    <t>PID4079</t>
  </si>
  <si>
    <t>ORD00823</t>
  </si>
  <si>
    <t>2024-09-22</t>
  </si>
  <si>
    <t>PID4082</t>
  </si>
  <si>
    <t>ORD00683</t>
  </si>
  <si>
    <t>2024-03-30</t>
  </si>
  <si>
    <t>PID4083</t>
  </si>
  <si>
    <t>ORD00801</t>
  </si>
  <si>
    <t>PID4106</t>
  </si>
  <si>
    <t>ORD00329</t>
  </si>
  <si>
    <t>2024-10-29</t>
  </si>
  <si>
    <t>PID4111</t>
  </si>
  <si>
    <t>ORD00306</t>
  </si>
  <si>
    <t>2025-10-31</t>
  </si>
  <si>
    <t>PID4112</t>
  </si>
  <si>
    <t>ORD00420</t>
  </si>
  <si>
    <t>2024-07-01</t>
  </si>
  <si>
    <t>PID4115</t>
  </si>
  <si>
    <t>ORD00208</t>
  </si>
  <si>
    <t>2024-07-27</t>
  </si>
  <si>
    <t>PID4120</t>
  </si>
  <si>
    <t>ORD00135</t>
  </si>
  <si>
    <t>2025-01-06</t>
  </si>
  <si>
    <t>PID4145</t>
  </si>
  <si>
    <t>ORD00867</t>
  </si>
  <si>
    <t>PID4148</t>
  </si>
  <si>
    <t>ORD00063</t>
  </si>
  <si>
    <t>2024-12-04</t>
  </si>
  <si>
    <t>PID4155</t>
  </si>
  <si>
    <t>ORD00844</t>
  </si>
  <si>
    <t>2025-11-23</t>
  </si>
  <si>
    <t>PID4156</t>
  </si>
  <si>
    <t>ORD00945</t>
  </si>
  <si>
    <t>2025-09-20</t>
  </si>
  <si>
    <t>PID4159</t>
  </si>
  <si>
    <t>ORD00734</t>
  </si>
  <si>
    <t>PID4174</t>
  </si>
  <si>
    <t>ORD00940</t>
  </si>
  <si>
    <t>2024-05-13</t>
  </si>
  <si>
    <t>PID4175</t>
  </si>
  <si>
    <t>ORD00138</t>
  </si>
  <si>
    <t>2025-06-30</t>
  </si>
  <si>
    <t>PID4178</t>
  </si>
  <si>
    <t>ORD00985</t>
  </si>
  <si>
    <t>2024-10-17</t>
  </si>
  <si>
    <t>PID4223</t>
  </si>
  <si>
    <t>ORD00038</t>
  </si>
  <si>
    <t>PID4228</t>
  </si>
  <si>
    <t>ORD00287</t>
  </si>
  <si>
    <t>2025-12-03</t>
  </si>
  <si>
    <t>PID4239</t>
  </si>
  <si>
    <t>ORD00071</t>
  </si>
  <si>
    <t>2024-03-13</t>
  </si>
  <si>
    <t>PID4241</t>
  </si>
  <si>
    <t>ORD00472</t>
  </si>
  <si>
    <t>2025-02-12</t>
  </si>
  <si>
    <t>PID4245</t>
  </si>
  <si>
    <t>ORD00954</t>
  </si>
  <si>
    <t>PID4246</t>
  </si>
  <si>
    <t>ORD00866</t>
  </si>
  <si>
    <t>2024-10-14</t>
  </si>
  <si>
    <t>PID4250</t>
  </si>
  <si>
    <t>ORD00861</t>
  </si>
  <si>
    <t>PID4251</t>
  </si>
  <si>
    <t>ORD00862</t>
  </si>
  <si>
    <t>2024-05-16</t>
  </si>
  <si>
    <t>PID4260</t>
  </si>
  <si>
    <t>ORD00321</t>
  </si>
  <si>
    <t>2024-07-24</t>
  </si>
  <si>
    <t>PID4262</t>
  </si>
  <si>
    <t>ORD00290</t>
  </si>
  <si>
    <t>2025-05-25</t>
  </si>
  <si>
    <t>PID4267</t>
  </si>
  <si>
    <t>ORD00987</t>
  </si>
  <si>
    <t>2024-11-14</t>
  </si>
  <si>
    <t>PID4268</t>
  </si>
  <si>
    <t>ORD00333</t>
  </si>
  <si>
    <t>2025-06-26</t>
  </si>
  <si>
    <t>PID4281</t>
  </si>
  <si>
    <t>ORD00748</t>
  </si>
  <si>
    <t>PID4297</t>
  </si>
  <si>
    <t>ORD00635</t>
  </si>
  <si>
    <t>2025-05-23</t>
  </si>
  <si>
    <t>PID4305</t>
  </si>
  <si>
    <t>ORD00696</t>
  </si>
  <si>
    <t>PID4307</t>
  </si>
  <si>
    <t>ORD00402</t>
  </si>
  <si>
    <t>2025-04-09</t>
  </si>
  <si>
    <t>PID4315</t>
  </si>
  <si>
    <t>ORD00408</t>
  </si>
  <si>
    <t>2025-03-09</t>
  </si>
  <si>
    <t>PID4337</t>
  </si>
  <si>
    <t>ORD00179</t>
  </si>
  <si>
    <t>2025-12-18</t>
  </si>
  <si>
    <t>PID4340</t>
  </si>
  <si>
    <t>ORD00242</t>
  </si>
  <si>
    <t>PID4371</t>
  </si>
  <si>
    <t>ORD00393</t>
  </si>
  <si>
    <t>2024-08-12</t>
  </si>
  <si>
    <t>PID4387</t>
  </si>
  <si>
    <t>ORD00787</t>
  </si>
  <si>
    <t>PID4393</t>
  </si>
  <si>
    <t>ORD00104</t>
  </si>
  <si>
    <t>PID4394</t>
  </si>
  <si>
    <t>ORD00831</t>
  </si>
  <si>
    <t>PID4436</t>
  </si>
  <si>
    <t>ORD00669</t>
  </si>
  <si>
    <t>PID4479</t>
  </si>
  <si>
    <t>ORD00376</t>
  </si>
  <si>
    <t>2025-07-04</t>
  </si>
  <si>
    <t>PID4492</t>
  </si>
  <si>
    <t>ORD00183</t>
  </si>
  <si>
    <t>2024-10-21</t>
  </si>
  <si>
    <t>PID4505</t>
  </si>
  <si>
    <t>ORD00618</t>
  </si>
  <si>
    <t>PID4510</t>
  </si>
  <si>
    <t>ORD00323</t>
  </si>
  <si>
    <t>2024-09-21</t>
  </si>
  <si>
    <t>PID4511</t>
  </si>
  <si>
    <t>ORD00659</t>
  </si>
  <si>
    <t>2024-09-29</t>
  </si>
  <si>
    <t>PID4531</t>
  </si>
  <si>
    <t>ORD00827</t>
  </si>
  <si>
    <t>PID4534</t>
  </si>
  <si>
    <t>ORD00550</t>
  </si>
  <si>
    <t>2024-07-16</t>
  </si>
  <si>
    <t>PID4552</t>
  </si>
  <si>
    <t>ORD00209</t>
  </si>
  <si>
    <t>2025-09-09</t>
  </si>
  <si>
    <t>PID4555</t>
  </si>
  <si>
    <t>ORD00054</t>
  </si>
  <si>
    <t>PID4571</t>
  </si>
  <si>
    <t>ORD00789</t>
  </si>
  <si>
    <t>PID4580</t>
  </si>
  <si>
    <t>ORD00295</t>
  </si>
  <si>
    <t>2024-07-11</t>
  </si>
  <si>
    <t>PID4584</t>
  </si>
  <si>
    <t>ORD00418</t>
  </si>
  <si>
    <t>PID4610</t>
  </si>
  <si>
    <t>ORD00596</t>
  </si>
  <si>
    <t>2025-05-05</t>
  </si>
  <si>
    <t>ORD00237</t>
  </si>
  <si>
    <t>2025-03-16</t>
  </si>
  <si>
    <t>PID4621</t>
  </si>
  <si>
    <t>ORD00372</t>
  </si>
  <si>
    <t>2024-03-10</t>
  </si>
  <si>
    <t>PID4624</t>
  </si>
  <si>
    <t>ORD00212</t>
  </si>
  <si>
    <t>2025-04-25</t>
  </si>
  <si>
    <t>PID4625</t>
  </si>
  <si>
    <t>ORD00286</t>
  </si>
  <si>
    <t>2025-04-18</t>
  </si>
  <si>
    <t>PID4641</t>
  </si>
  <si>
    <t>ORD00846</t>
  </si>
  <si>
    <t>2024-12-03</t>
  </si>
  <si>
    <t>PID4698</t>
  </si>
  <si>
    <t>ORD00087</t>
  </si>
  <si>
    <t>PID4727</t>
  </si>
  <si>
    <t>ORD00432</t>
  </si>
  <si>
    <t>2025-03-07</t>
  </si>
  <si>
    <t>PID4739</t>
  </si>
  <si>
    <t>ORD00339</t>
  </si>
  <si>
    <t>2025-01-02</t>
  </si>
  <si>
    <t>PID4742</t>
  </si>
  <si>
    <t>ORD00851</t>
  </si>
  <si>
    <t>PID4748</t>
  </si>
  <si>
    <t>ORD00201</t>
  </si>
  <si>
    <t>PID4762</t>
  </si>
  <si>
    <t>ORD00750</t>
  </si>
  <si>
    <t>PID4772</t>
  </si>
  <si>
    <t>ORD00487</t>
  </si>
  <si>
    <t>PID4783</t>
  </si>
  <si>
    <t>ORD00215</t>
  </si>
  <si>
    <t>2024-02-04</t>
  </si>
  <si>
    <t>PID4791</t>
  </si>
  <si>
    <t>ORD00868</t>
  </si>
  <si>
    <t>ORD00413</t>
  </si>
  <si>
    <t>2024-07-25</t>
  </si>
  <si>
    <t>PID4795</t>
  </si>
  <si>
    <t>ORD00186</t>
  </si>
  <si>
    <t>PID4804</t>
  </si>
  <si>
    <t>ORD00005</t>
  </si>
  <si>
    <t>2024-07-15</t>
  </si>
  <si>
    <t>PID4814</t>
  </si>
  <si>
    <t>ORD00184</t>
  </si>
  <si>
    <t>2024-04-21</t>
  </si>
  <si>
    <t>ORD00545</t>
  </si>
  <si>
    <t>PID4828</t>
  </si>
  <si>
    <t>ORD00723</t>
  </si>
  <si>
    <t>2024-03-03</t>
  </si>
  <si>
    <t>PID4829</t>
  </si>
  <si>
    <t>ORD00259</t>
  </si>
  <si>
    <t>2025-01-15</t>
  </si>
  <si>
    <t>PID4836</t>
  </si>
  <si>
    <t>ORD00344</t>
  </si>
  <si>
    <t>PID4842</t>
  </si>
  <si>
    <t>ORD00632</t>
  </si>
  <si>
    <t>2025-03-14</t>
  </si>
  <si>
    <t>PID4844</t>
  </si>
  <si>
    <t>ORD00646</t>
  </si>
  <si>
    <t>2025-09-06</t>
  </si>
  <si>
    <t>PID4865</t>
  </si>
  <si>
    <t>ORD00864</t>
  </si>
  <si>
    <t>PID4874</t>
  </si>
  <si>
    <t>ORD00317</t>
  </si>
  <si>
    <t>2025-09-25</t>
  </si>
  <si>
    <t>PID4892</t>
  </si>
  <si>
    <t>ORD00083</t>
  </si>
  <si>
    <t>2024-12-06</t>
  </si>
  <si>
    <t>PID4912</t>
  </si>
  <si>
    <t>ORD00265</t>
  </si>
  <si>
    <t>2025-06-14</t>
  </si>
  <si>
    <t>PID4921</t>
  </si>
  <si>
    <t>ORD00813</t>
  </si>
  <si>
    <t>2025-09-10</t>
  </si>
  <si>
    <t>PID4925</t>
  </si>
  <si>
    <t>ORD00649</t>
  </si>
  <si>
    <t>PID4926</t>
  </si>
  <si>
    <t>ORD00967</t>
  </si>
  <si>
    <t>PID4941</t>
  </si>
  <si>
    <t>ORD00997</t>
  </si>
  <si>
    <t>2025-11-28</t>
  </si>
  <si>
    <t>PID4943</t>
  </si>
  <si>
    <t>ORD00353</t>
  </si>
  <si>
    <t>2025-06-01</t>
  </si>
  <si>
    <t>PID4946</t>
  </si>
  <si>
    <t>ORD00168</t>
  </si>
  <si>
    <t>PID4960</t>
  </si>
  <si>
    <t>ORD00963</t>
  </si>
  <si>
    <t>2025-05-09</t>
  </si>
  <si>
    <t>PID4971</t>
  </si>
  <si>
    <t>ORD00417</t>
  </si>
  <si>
    <t>2025-06-09</t>
  </si>
  <si>
    <t>PID4985</t>
  </si>
  <si>
    <t>ORD00059</t>
  </si>
  <si>
    <t>2024-10-01</t>
  </si>
  <si>
    <t>PID4995</t>
  </si>
  <si>
    <t>ORD00854</t>
  </si>
  <si>
    <t>2025-09-23</t>
  </si>
  <si>
    <t>PID5001</t>
  </si>
  <si>
    <t>ORD00027</t>
  </si>
  <si>
    <t>PID5002</t>
  </si>
  <si>
    <t>ORD00500</t>
  </si>
  <si>
    <t>2025-08-25</t>
  </si>
  <si>
    <t>PID5009</t>
  </si>
  <si>
    <t>ORD00519</t>
  </si>
  <si>
    <t>2024-12-24</t>
  </si>
  <si>
    <t>PID5011</t>
  </si>
  <si>
    <t>ORD00918</t>
  </si>
  <si>
    <t>2025-04-05</t>
  </si>
  <si>
    <t>ORD00213</t>
  </si>
  <si>
    <t>PID5026</t>
  </si>
  <si>
    <t>ORD00753</t>
  </si>
  <si>
    <t>PID5029</t>
  </si>
  <si>
    <t>ORD00865</t>
  </si>
  <si>
    <t>2024-01-09</t>
  </si>
  <si>
    <t>PID5059</t>
  </si>
  <si>
    <t>ORD00660</t>
  </si>
  <si>
    <t>2025-02-22</t>
  </si>
  <si>
    <t>PID5068</t>
  </si>
  <si>
    <t>ORD00887</t>
  </si>
  <si>
    <t>ORD00461</t>
  </si>
  <si>
    <t>PID5075</t>
  </si>
  <si>
    <t>ORD00850</t>
  </si>
  <si>
    <t>2025-01-22</t>
  </si>
  <si>
    <t>PID5081</t>
  </si>
  <si>
    <t>ORD00253</t>
  </si>
  <si>
    <t>PID5090</t>
  </si>
  <si>
    <t>ORD00785</t>
  </si>
  <si>
    <t>2025-03-30</t>
  </si>
  <si>
    <t>PID5091</t>
  </si>
  <si>
    <t>ORD00441</t>
  </si>
  <si>
    <t>2024-08-24</t>
  </si>
  <si>
    <t>PID5094</t>
  </si>
  <si>
    <t>ORD00132</t>
  </si>
  <si>
    <t>2024-02-23</t>
  </si>
  <si>
    <t>PID5128</t>
  </si>
  <si>
    <t>ORD00874</t>
  </si>
  <si>
    <t>PID5137</t>
  </si>
  <si>
    <t>ORD00090</t>
  </si>
  <si>
    <t>2025-11-30</t>
  </si>
  <si>
    <t>PID5161</t>
  </si>
  <si>
    <t>ORD00358</t>
  </si>
  <si>
    <t>2024-06-17</t>
  </si>
  <si>
    <t>PID5166</t>
  </si>
  <si>
    <t>ORD00882</t>
  </si>
  <si>
    <t>PID5216</t>
  </si>
  <si>
    <t>ORD00977</t>
  </si>
  <si>
    <t>ORD00523</t>
  </si>
  <si>
    <t>PID5227</t>
  </si>
  <si>
    <t>ORD00046</t>
  </si>
  <si>
    <t>PID5246</t>
  </si>
  <si>
    <t>ORD00429</t>
  </si>
  <si>
    <t>PID5256</t>
  </si>
  <si>
    <t>ORD00281</t>
  </si>
  <si>
    <t>PID5276</t>
  </si>
  <si>
    <t>ORD00327</t>
  </si>
  <si>
    <t>2025-05-08</t>
  </si>
  <si>
    <t>PID5278</t>
  </si>
  <si>
    <t>ORD00765</t>
  </si>
  <si>
    <t>2025-12-23</t>
  </si>
  <si>
    <t>ORD00211</t>
  </si>
  <si>
    <t>2025-07-19</t>
  </si>
  <si>
    <t>PID5285</t>
  </si>
  <si>
    <t>ORD00030</t>
  </si>
  <si>
    <t>2024-04-04</t>
  </si>
  <si>
    <t>PID5291</t>
  </si>
  <si>
    <t>ORD00012</t>
  </si>
  <si>
    <t>PID5315</t>
  </si>
  <si>
    <t>ORD00709</t>
  </si>
  <si>
    <t>2025-01-13</t>
  </si>
  <si>
    <t>PID5320</t>
  </si>
  <si>
    <t>ORD00029</t>
  </si>
  <si>
    <t>PID5325</t>
  </si>
  <si>
    <t>ORD00544</t>
  </si>
  <si>
    <t>2025-11-07</t>
  </si>
  <si>
    <t>PID5331</t>
  </si>
  <si>
    <t>ORD00553</t>
  </si>
  <si>
    <t>2024-03-04</t>
  </si>
  <si>
    <t>PID5336</t>
  </si>
  <si>
    <t>ORD00466</t>
  </si>
  <si>
    <t>PID5341</t>
  </si>
  <si>
    <t>ORD00151</t>
  </si>
  <si>
    <t>PID5369</t>
  </si>
  <si>
    <t>ORD00889</t>
  </si>
  <si>
    <t>PID5382</t>
  </si>
  <si>
    <t>ORD00935</t>
  </si>
  <si>
    <t>PID5384</t>
  </si>
  <si>
    <t>ORD00972</t>
  </si>
  <si>
    <t>PID5395</t>
  </si>
  <si>
    <t>ORD00310</t>
  </si>
  <si>
    <t>PID5400</t>
  </si>
  <si>
    <t>ORD00671</t>
  </si>
  <si>
    <t>2024-06-06</t>
  </si>
  <si>
    <t>PID5412</t>
  </si>
  <si>
    <t>ORD00489</t>
  </si>
  <si>
    <t>PID5421</t>
  </si>
  <si>
    <t>ORD00923</t>
  </si>
  <si>
    <t>ORD00845</t>
  </si>
  <si>
    <t>PID5425</t>
  </si>
  <si>
    <t>ORD00547</t>
  </si>
  <si>
    <t>2025-10-14</t>
  </si>
  <si>
    <t>PID5429</t>
  </si>
  <si>
    <t>ORD00221</t>
  </si>
  <si>
    <t>2024-02-13</t>
  </si>
  <si>
    <t>PID5441</t>
  </si>
  <si>
    <t>ORD00442</t>
  </si>
  <si>
    <t>PID5454</t>
  </si>
  <si>
    <t>ORD00443</t>
  </si>
  <si>
    <t>2024-03-11</t>
  </si>
  <si>
    <t>PID5458</t>
  </si>
  <si>
    <t>ORD00437</t>
  </si>
  <si>
    <t>2025-11-10</t>
  </si>
  <si>
    <t>PID5463</t>
  </si>
  <si>
    <t>ORD00783</t>
  </si>
  <si>
    <t>PID5476</t>
  </si>
  <si>
    <t>ORD00486</t>
  </si>
  <si>
    <t>PID5485</t>
  </si>
  <si>
    <t>ORD00258</t>
  </si>
  <si>
    <t>PID5489</t>
  </si>
  <si>
    <t>ORD00422</t>
  </si>
  <si>
    <t>PID5501</t>
  </si>
  <si>
    <t>ORD00615</t>
  </si>
  <si>
    <t>PID5544</t>
  </si>
  <si>
    <t>ORD00541</t>
  </si>
  <si>
    <t>2025-10-01</t>
  </si>
  <si>
    <t>PID5552</t>
  </si>
  <si>
    <t>ORD00597</t>
  </si>
  <si>
    <t>2024-02-26</t>
  </si>
  <si>
    <t>PID5553</t>
  </si>
  <si>
    <t>ORD00035</t>
  </si>
  <si>
    <t>PID5564</t>
  </si>
  <si>
    <t>ORD00060</t>
  </si>
  <si>
    <t>PID5581</t>
  </si>
  <si>
    <t>ORD00757</t>
  </si>
  <si>
    <t>2025-08-24</t>
  </si>
  <si>
    <t>PID5588</t>
  </si>
  <si>
    <t>ORD00869</t>
  </si>
  <si>
    <t>PID5596</t>
  </si>
  <si>
    <t>ORD00733</t>
  </si>
  <si>
    <t>PID5599</t>
  </si>
  <si>
    <t>ORD00948</t>
  </si>
  <si>
    <t>PID5605</t>
  </si>
  <si>
    <t>ORD00732</t>
  </si>
  <si>
    <t>PID5606</t>
  </si>
  <si>
    <t>ORD00655</t>
  </si>
  <si>
    <t>2025-04-07</t>
  </si>
  <si>
    <t>PID5616</t>
  </si>
  <si>
    <t>ORD00444</t>
  </si>
  <si>
    <t>2024-01-20</t>
  </si>
  <si>
    <t>PID5622</t>
  </si>
  <si>
    <t>ORD00131</t>
  </si>
  <si>
    <t>PID5634</t>
  </si>
  <si>
    <t>ORD00064</t>
  </si>
  <si>
    <t>2024-08-09</t>
  </si>
  <si>
    <t>PID5636</t>
  </si>
  <si>
    <t>ORD00256</t>
  </si>
  <si>
    <t>PID5646</t>
  </si>
  <si>
    <t>ORD00567</t>
  </si>
  <si>
    <t>2024-01-07</t>
  </si>
  <si>
    <t>PID5648</t>
  </si>
  <si>
    <t>ORD00264</t>
  </si>
  <si>
    <t>PID5668</t>
  </si>
  <si>
    <t>ORD00870</t>
  </si>
  <si>
    <t>2024-02-18</t>
  </si>
  <si>
    <t>PID5674</t>
  </si>
  <si>
    <t>ORD00157</t>
  </si>
  <si>
    <t>PID5678</t>
  </si>
  <si>
    <t>ORD00431</t>
  </si>
  <si>
    <t>PID5694</t>
  </si>
  <si>
    <t>ORD00365</t>
  </si>
  <si>
    <t>PID5695</t>
  </si>
  <si>
    <t>ORD00217</t>
  </si>
  <si>
    <t>2025-06-28</t>
  </si>
  <si>
    <t>PID5697</t>
  </si>
  <si>
    <t>ORD00619</t>
  </si>
  <si>
    <t>PID5723</t>
  </si>
  <si>
    <t>ORD00072</t>
  </si>
  <si>
    <t>PID5728</t>
  </si>
  <si>
    <t>ORD00187</t>
  </si>
  <si>
    <t>PID5742</t>
  </si>
  <si>
    <t>ORD00346</t>
  </si>
  <si>
    <t>PID5760</t>
  </si>
  <si>
    <t>ORD00976</t>
  </si>
  <si>
    <t>PID5762</t>
  </si>
  <si>
    <t>ORD00529</t>
  </si>
  <si>
    <t>2024-08-10</t>
  </si>
  <si>
    <t>PID5775</t>
  </si>
  <si>
    <t>ORD00308</t>
  </si>
  <si>
    <t>PID5781</t>
  </si>
  <si>
    <t>ORD00357</t>
  </si>
  <si>
    <t>PID5783</t>
  </si>
  <si>
    <t>ORD00252</t>
  </si>
  <si>
    <t>PID5794</t>
  </si>
  <si>
    <t>ORD00991</t>
  </si>
  <si>
    <t>PID5806</t>
  </si>
  <si>
    <t>ORD00712</t>
  </si>
  <si>
    <t>PID5816</t>
  </si>
  <si>
    <t>ORD00947</t>
  </si>
  <si>
    <t>PID5822</t>
  </si>
  <si>
    <t>ORD00493</t>
  </si>
  <si>
    <t>2025-03-26</t>
  </si>
  <si>
    <t>PID5823</t>
  </si>
  <si>
    <t>ORD00453</t>
  </si>
  <si>
    <t>2025-01-01</t>
  </si>
  <si>
    <t>PID5828</t>
  </si>
  <si>
    <t>ORD00899</t>
  </si>
  <si>
    <t>ORD00381</t>
  </si>
  <si>
    <t>PID5832</t>
  </si>
  <si>
    <t>ORD00068</t>
  </si>
  <si>
    <t>PID5871</t>
  </si>
  <si>
    <t>ORD00244</t>
  </si>
  <si>
    <t>2025-02-05</t>
  </si>
  <si>
    <t>PID5873</t>
  </si>
  <si>
    <t>ORD00181</t>
  </si>
  <si>
    <t>2025-09-16</t>
  </si>
  <si>
    <t>PID5876</t>
  </si>
  <si>
    <t>ORD00836</t>
  </si>
  <si>
    <t>PID5888</t>
  </si>
  <si>
    <t>ORD00501</t>
  </si>
  <si>
    <t>PID5889</t>
  </si>
  <si>
    <t>ORD00674</t>
  </si>
  <si>
    <t>2025-02-01</t>
  </si>
  <si>
    <t>PID5891</t>
  </si>
  <si>
    <t>ORD00091</t>
  </si>
  <si>
    <t>PID5901</t>
  </si>
  <si>
    <t>ORD00440</t>
  </si>
  <si>
    <t>2024-10-20</t>
  </si>
  <si>
    <t>PID5908</t>
  </si>
  <si>
    <t>ORD00749</t>
  </si>
  <si>
    <t>PID5909</t>
  </si>
  <si>
    <t>ORD00465</t>
  </si>
  <si>
    <t>2024-02-05</t>
  </si>
  <si>
    <t>PID5920</t>
  </si>
  <si>
    <t>ORD00608</t>
  </si>
  <si>
    <t>2025-09-05</t>
  </si>
  <si>
    <t>PID5932</t>
  </si>
  <si>
    <t>ORD00614</t>
  </si>
  <si>
    <t>PID5942</t>
  </si>
  <si>
    <t>ORD00637</t>
  </si>
  <si>
    <t>2024-03-09</t>
  </si>
  <si>
    <t>PID5945</t>
  </si>
  <si>
    <t>ORD00166</t>
  </si>
  <si>
    <t>2025-08-08</t>
  </si>
  <si>
    <t>PID5949</t>
  </si>
  <si>
    <t>ORD00481</t>
  </si>
  <si>
    <t>PID5953</t>
  </si>
  <si>
    <t>ORD00513</t>
  </si>
  <si>
    <t>2025-02-27</t>
  </si>
  <si>
    <t>PID5958</t>
  </si>
  <si>
    <t>ORD00999</t>
  </si>
  <si>
    <t>2025-03-11</t>
  </si>
  <si>
    <t>PID5960</t>
  </si>
  <si>
    <t>ORD00439</t>
  </si>
  <si>
    <t>2025-07-06</t>
  </si>
  <si>
    <t>PID5973</t>
  </si>
  <si>
    <t>ORD00067</t>
  </si>
  <si>
    <t>2025-02-14</t>
  </si>
  <si>
    <t>PID5978</t>
  </si>
  <si>
    <t>ORD00857</t>
  </si>
  <si>
    <t>PID5994</t>
  </si>
  <si>
    <t>ORD00386</t>
  </si>
  <si>
    <t>PID6008</t>
  </si>
  <si>
    <t>ORD00800</t>
  </si>
  <si>
    <t>2025-09-01</t>
  </si>
  <si>
    <t>PID6011</t>
  </si>
  <si>
    <t>ORD00152</t>
  </si>
  <si>
    <t>PID6021</t>
  </si>
  <si>
    <t>ORD00847</t>
  </si>
  <si>
    <t>2024-08-15</t>
  </si>
  <si>
    <t>PID6022</t>
  </si>
  <si>
    <t>ORD00299</t>
  </si>
  <si>
    <t>PID6026</t>
  </si>
  <si>
    <t>ORD00930</t>
  </si>
  <si>
    <t>PID6029</t>
  </si>
  <si>
    <t>ORD00197</t>
  </si>
  <si>
    <t>2024-05-15</t>
  </si>
  <si>
    <t>PID6049</t>
  </si>
  <si>
    <t>ORD00512</t>
  </si>
  <si>
    <t>PID6050</t>
  </si>
  <si>
    <t>ORD00170</t>
  </si>
  <si>
    <t>PID6055</t>
  </si>
  <si>
    <t>ORD00124</t>
  </si>
  <si>
    <t>2024-04-18</t>
  </si>
  <si>
    <t>PID6083</t>
  </si>
  <si>
    <t>ORD00276</t>
  </si>
  <si>
    <t>PID6090</t>
  </si>
  <si>
    <t>ORD00193</t>
  </si>
  <si>
    <t>2025-04-21</t>
  </si>
  <si>
    <t>PID6095</t>
  </si>
  <si>
    <t>ORD00113</t>
  </si>
  <si>
    <t>2025-02-24</t>
  </si>
  <si>
    <t>PID6119</t>
  </si>
  <si>
    <t>ORD00111</t>
  </si>
  <si>
    <t>2024-08-21</t>
  </si>
  <si>
    <t>PID6120</t>
  </si>
  <si>
    <t>ORD00367</t>
  </si>
  <si>
    <t>2025-06-07</t>
  </si>
  <si>
    <t>PID6122</t>
  </si>
  <si>
    <t>ORD00767</t>
  </si>
  <si>
    <t>2025-04-30</t>
  </si>
  <si>
    <t>PID6129</t>
  </si>
  <si>
    <t>ORD00917</t>
  </si>
  <si>
    <t>PID6138</t>
  </si>
  <si>
    <t>ORD00246</t>
  </si>
  <si>
    <t>2024-07-09</t>
  </si>
  <si>
    <t>PID6154</t>
  </si>
  <si>
    <t>ORD00909</t>
  </si>
  <si>
    <t>2024-10-02</t>
  </si>
  <si>
    <t>ORD00008</t>
  </si>
  <si>
    <t>PID6155</t>
  </si>
  <si>
    <t>ORD00546</t>
  </si>
  <si>
    <t>PID6172</t>
  </si>
  <si>
    <t>ORD00825</t>
  </si>
  <si>
    <t>2025-06-16</t>
  </si>
  <si>
    <t>PID6176</t>
  </si>
  <si>
    <t>ORD00788</t>
  </si>
  <si>
    <t>PID6181</t>
  </si>
  <si>
    <t>ORD00266</t>
  </si>
  <si>
    <t>PID6185</t>
  </si>
  <si>
    <t>ORD00927</t>
  </si>
  <si>
    <t>ORD00161</t>
  </si>
  <si>
    <t>PID6194</t>
  </si>
  <si>
    <t>ORD00957</t>
  </si>
  <si>
    <t>PID6196</t>
  </si>
  <si>
    <t>ORD00485</t>
  </si>
  <si>
    <t>2024-06-10</t>
  </si>
  <si>
    <t>PID6203</t>
  </si>
  <si>
    <t>ORD00371</t>
  </si>
  <si>
    <t>2024-02-22</t>
  </si>
  <si>
    <t>PID6207</t>
  </si>
  <si>
    <t>ORD00949</t>
  </si>
  <si>
    <t>PID6222</t>
  </si>
  <si>
    <t>ORD00204</t>
  </si>
  <si>
    <t>PID6224</t>
  </si>
  <si>
    <t>ORD00301</t>
  </si>
  <si>
    <t>PID6234</t>
  </si>
  <si>
    <t>ORD00158</t>
  </si>
  <si>
    <t>2024-05-18</t>
  </si>
  <si>
    <t>PID6236</t>
  </si>
  <si>
    <t>ORD00328</t>
  </si>
  <si>
    <t>ORD00721</t>
  </si>
  <si>
    <t>PID6243</t>
  </si>
  <si>
    <t>ORD00375</t>
  </si>
  <si>
    <t>PID6248</t>
  </si>
  <si>
    <t>ORD00517</t>
  </si>
  <si>
    <t>2025-06-17</t>
  </si>
  <si>
    <t>PID6257</t>
  </si>
  <si>
    <t>ORD00041</t>
  </si>
  <si>
    <t>2024-01-01</t>
  </si>
  <si>
    <t>PID6279</t>
  </si>
  <si>
    <t>ORD00552</t>
  </si>
  <si>
    <t>PID6298</t>
  </si>
  <si>
    <t>ORD00830</t>
  </si>
  <si>
    <t>ORD00296</t>
  </si>
  <si>
    <t>PID6301</t>
  </si>
  <si>
    <t>ORD00007</t>
  </si>
  <si>
    <t>PID6313</t>
  </si>
  <si>
    <t>ORD00088</t>
  </si>
  <si>
    <t>2025-10-10</t>
  </si>
  <si>
    <t>PID6314</t>
  </si>
  <si>
    <t>ORD00117</t>
  </si>
  <si>
    <t>ORD00880</t>
  </si>
  <si>
    <t>2025-07-01</t>
  </si>
  <si>
    <t>PID6317</t>
  </si>
  <si>
    <t>ORD00463</t>
  </si>
  <si>
    <t>PID6319</t>
  </si>
  <si>
    <t>ORD00467</t>
  </si>
  <si>
    <t>ORD00715</t>
  </si>
  <si>
    <t>PID6328</t>
  </si>
  <si>
    <t>ORD00816</t>
  </si>
  <si>
    <t>PID6333</t>
  </si>
  <si>
    <t>ORD00779</t>
  </si>
  <si>
    <t>PID6341</t>
  </si>
  <si>
    <t>ORD00820</t>
  </si>
  <si>
    <t>PID6349</t>
  </si>
  <si>
    <t>ORD00946</t>
  </si>
  <si>
    <t>2025-06-08</t>
  </si>
  <si>
    <t>PID6366</t>
  </si>
  <si>
    <t>ORD00284</t>
  </si>
  <si>
    <t>2024-04-02</t>
  </si>
  <si>
    <t>PID6370</t>
  </si>
  <si>
    <t>ORD00707</t>
  </si>
  <si>
    <t>2024-10-18</t>
  </si>
  <si>
    <t>PID6371</t>
  </si>
  <si>
    <t>ORD00086</t>
  </si>
  <si>
    <t>PID6383</t>
  </si>
  <si>
    <t>ORD00764</t>
  </si>
  <si>
    <t>PID6394</t>
  </si>
  <si>
    <t>ORD00794</t>
  </si>
  <si>
    <t>2024-11-21</t>
  </si>
  <si>
    <t>PID6427</t>
  </si>
  <si>
    <t>ORD00539</t>
  </si>
  <si>
    <t>PID6431</t>
  </si>
  <si>
    <t>ORD00377</t>
  </si>
  <si>
    <t>PID6434</t>
  </si>
  <si>
    <t>ORD00508</t>
  </si>
  <si>
    <t>PID6460</t>
  </si>
  <si>
    <t>ORD00892</t>
  </si>
  <si>
    <t>2024-04-22</t>
  </si>
  <si>
    <t>PID6467</t>
  </si>
  <si>
    <t>ORD00042</t>
  </si>
  <si>
    <t>PID6491</t>
  </si>
  <si>
    <t>ORD00907</t>
  </si>
  <si>
    <t>2024-07-18</t>
  </si>
  <si>
    <t>PID6496</t>
  </si>
  <si>
    <t>ORD00931</t>
  </si>
  <si>
    <t>PID6502</t>
  </si>
  <si>
    <t>ORD00003</t>
  </si>
  <si>
    <t>2024-10-11</t>
  </si>
  <si>
    <t>PID6514</t>
  </si>
  <si>
    <t>ORD00548</t>
  </si>
  <si>
    <t>PID6528</t>
  </si>
  <si>
    <t>ORD00167</t>
  </si>
  <si>
    <t>PID6573</t>
  </si>
  <si>
    <t>ORD00693</t>
  </si>
  <si>
    <t>PID6575</t>
  </si>
  <si>
    <t>ORD00526</t>
  </si>
  <si>
    <t>PID6582</t>
  </si>
  <si>
    <t>ORD00676</t>
  </si>
  <si>
    <t>2025-03-08</t>
  </si>
  <si>
    <t>PID6599</t>
  </si>
  <si>
    <t>ORD00425</t>
  </si>
  <si>
    <t>2025-09-19</t>
  </si>
  <si>
    <t>PID6621</t>
  </si>
  <si>
    <t>ORD00130</t>
  </si>
  <si>
    <t>2025-05-02</t>
  </si>
  <si>
    <t>PID6626</t>
  </si>
  <si>
    <t>ORD00163</t>
  </si>
  <si>
    <t>PID6669</t>
  </si>
  <si>
    <t>ORD00452</t>
  </si>
  <si>
    <t>2024-04-19</t>
  </si>
  <si>
    <t>PID6690</t>
  </si>
  <si>
    <t>ORD00415</t>
  </si>
  <si>
    <t>PID6693</t>
  </si>
  <si>
    <t>ORD00075</t>
  </si>
  <si>
    <t>2024-07-04</t>
  </si>
  <si>
    <t>PID6700</t>
  </si>
  <si>
    <t>ORD00829</t>
  </si>
  <si>
    <t>PID6706</t>
  </si>
  <si>
    <t>ORD00803</t>
  </si>
  <si>
    <t>2025-08-02</t>
  </si>
  <si>
    <t>PID6711</t>
  </si>
  <si>
    <t>ORD00925</t>
  </si>
  <si>
    <t>PID6722</t>
  </si>
  <si>
    <t>ORD00125</t>
  </si>
  <si>
    <t>2024-06-21</t>
  </si>
  <si>
    <t>PID6752</t>
  </si>
  <si>
    <t>ORD00726</t>
  </si>
  <si>
    <t>PID6757</t>
  </si>
  <si>
    <t>ORD00841</t>
  </si>
  <si>
    <t>PID6769</t>
  </si>
  <si>
    <t>ORD00630</t>
  </si>
  <si>
    <t>2024-06-09</t>
  </si>
  <si>
    <t>PID6779</t>
  </si>
  <si>
    <t>ORD00855</t>
  </si>
  <si>
    <t>2025-11-21</t>
  </si>
  <si>
    <t>PID6788</t>
  </si>
  <si>
    <t>ORD00511</t>
  </si>
  <si>
    <t>2025-07-02</t>
  </si>
  <si>
    <t>PID6793</t>
  </si>
  <si>
    <t>ORD00505</t>
  </si>
  <si>
    <t>2025-12-24</t>
  </si>
  <si>
    <t>PID6797</t>
  </si>
  <si>
    <t>ORD00662</t>
  </si>
  <si>
    <t>PID6804</t>
  </si>
  <si>
    <t>ORD00968</t>
  </si>
  <si>
    <t>2024-01-30</t>
  </si>
  <si>
    <t>PID6806</t>
  </si>
  <si>
    <t>ORD00218</t>
  </si>
  <si>
    <t>2024-04-08</t>
  </si>
  <si>
    <t>PID6807</t>
  </si>
  <si>
    <t>ORD00881</t>
  </si>
  <si>
    <t>2025-09-18</t>
  </si>
  <si>
    <t>PID6824</t>
  </si>
  <si>
    <t>ORD00347</t>
  </si>
  <si>
    <t>PID6857</t>
  </si>
  <si>
    <t>ORD00989</t>
  </si>
  <si>
    <t>PID6858</t>
  </si>
  <si>
    <t>ORD00032</t>
  </si>
  <si>
    <t>2024-02-12</t>
  </si>
  <si>
    <t>PID6862</t>
  </si>
  <si>
    <t>ORD00731</t>
  </si>
  <si>
    <t>2024-02-01</t>
  </si>
  <si>
    <t>PID6864</t>
  </si>
  <si>
    <t>ORD00092</t>
  </si>
  <si>
    <t>PID6881</t>
  </si>
  <si>
    <t>ORD00559</t>
  </si>
  <si>
    <t>2024-02-10</t>
  </si>
  <si>
    <t>PID6886</t>
  </si>
  <si>
    <t>ORD00192</t>
  </si>
  <si>
    <t>2024-09-30</t>
  </si>
  <si>
    <t>PID6890</t>
  </si>
  <si>
    <t>ORD00798</t>
  </si>
  <si>
    <t>PID6891</t>
  </si>
  <si>
    <t>ORD00752</t>
  </si>
  <si>
    <t>PID6896</t>
  </si>
  <si>
    <t>ORD00464</t>
  </si>
  <si>
    <t>2025-09-15</t>
  </si>
  <si>
    <t>PID6898</t>
  </si>
  <si>
    <t>ORD00533</t>
  </si>
  <si>
    <t>PID6902</t>
  </si>
  <si>
    <t>ORD00665</t>
  </si>
  <si>
    <t>PID6907</t>
  </si>
  <si>
    <t>ORD00804</t>
  </si>
  <si>
    <t>PID6921</t>
  </si>
  <si>
    <t>ORD00942</t>
  </si>
  <si>
    <t>2024-05-25</t>
  </si>
  <si>
    <t>ORD00695</t>
  </si>
  <si>
    <t>PID6925</t>
  </si>
  <si>
    <t>ORD00611</t>
  </si>
  <si>
    <t>PID6940</t>
  </si>
  <si>
    <t>ORD00233</t>
  </si>
  <si>
    <t>2024-10-25</t>
  </si>
  <si>
    <t>PID6980</t>
  </si>
  <si>
    <t>ORD00097</t>
  </si>
  <si>
    <t>PID6992</t>
  </si>
  <si>
    <t>ORD00368</t>
  </si>
  <si>
    <t>PID7025</t>
  </si>
  <si>
    <t>ORD00150</t>
  </si>
  <si>
    <t>2024-10-19</t>
  </si>
  <si>
    <t>PID7029</t>
  </si>
  <si>
    <t>ORD00747</t>
  </si>
  <si>
    <t>2025-08-20</t>
  </si>
  <si>
    <t>PID7042</t>
  </si>
  <si>
    <t>ORD00062</t>
  </si>
  <si>
    <t>2024-04-05</t>
  </si>
  <si>
    <t>PID7046</t>
  </si>
  <si>
    <t>ORD00112</t>
  </si>
  <si>
    <t>2024-06-05</t>
  </si>
  <si>
    <t>PID7105</t>
  </si>
  <si>
    <t>ORD00146</t>
  </si>
  <si>
    <t>PID7116</t>
  </si>
  <si>
    <t>ORD00297</t>
  </si>
  <si>
    <t>2025-12-22</t>
  </si>
  <si>
    <t>PID7120</t>
  </si>
  <si>
    <t>ORD00194</t>
  </si>
  <si>
    <t>PID7121</t>
  </si>
  <si>
    <t>ORD00488</t>
  </si>
  <si>
    <t>2025-12-05</t>
  </si>
  <si>
    <t>PID7126</t>
  </si>
  <si>
    <t>ORD00326</t>
  </si>
  <si>
    <t>2025-04-22</t>
  </si>
  <si>
    <t>PID7131</t>
  </si>
  <si>
    <t>ORD00340</t>
  </si>
  <si>
    <t>PID7147</t>
  </si>
  <si>
    <t>ORD00834</t>
  </si>
  <si>
    <t>PID7150</t>
  </si>
  <si>
    <t>ORD00566</t>
  </si>
  <si>
    <t>2024-09-06</t>
  </si>
  <si>
    <t>PID7162</t>
  </si>
  <si>
    <t>ORD00325</t>
  </si>
  <si>
    <t>2024-09-15</t>
  </si>
  <si>
    <t>PID7168</t>
  </si>
  <si>
    <t>ORD00136</t>
  </si>
  <si>
    <t>PID7172</t>
  </si>
  <si>
    <t>ORD00369</t>
  </si>
  <si>
    <t>2025-04-04</t>
  </si>
  <si>
    <t>PID7180</t>
  </si>
  <si>
    <t>ORD00004</t>
  </si>
  <si>
    <t>PID7201</t>
  </si>
  <si>
    <t>ORD00528</t>
  </si>
  <si>
    <t>PID7208</t>
  </si>
  <si>
    <t>ORD00052</t>
  </si>
  <si>
    <t>PID7211</t>
  </si>
  <si>
    <t>ORD00424</t>
  </si>
  <si>
    <t>PID7216</t>
  </si>
  <si>
    <t>ORD00225</t>
  </si>
  <si>
    <t>2025-05-17</t>
  </si>
  <si>
    <t>PID7227</t>
  </si>
  <si>
    <t>ORD00178</t>
  </si>
  <si>
    <t>2025-08-14</t>
  </si>
  <si>
    <t>PID7229</t>
  </si>
  <si>
    <t>ORD00922</t>
  </si>
  <si>
    <t>PID7230</t>
  </si>
  <si>
    <t>ORD00906</t>
  </si>
  <si>
    <t>PID7233</t>
  </si>
  <si>
    <t>ORD00479</t>
  </si>
  <si>
    <t>PID7237</t>
  </si>
  <si>
    <t>ORD00098</t>
  </si>
  <si>
    <t>2025-07-03</t>
  </si>
  <si>
    <t>PID7242</t>
  </si>
  <si>
    <t>ORD00380</t>
  </si>
  <si>
    <t>PID7249</t>
  </si>
  <si>
    <t>ORD00822</t>
  </si>
  <si>
    <t>2025-09-07</t>
  </si>
  <si>
    <t>PID7252</t>
  </si>
  <si>
    <t>ORD00969</t>
  </si>
  <si>
    <t>2025-05-29</t>
  </si>
  <si>
    <t>PID7267</t>
  </si>
  <si>
    <t>ORD00532</t>
  </si>
  <si>
    <t>2024-10-15</t>
  </si>
  <si>
    <t>PID7271</t>
  </si>
  <si>
    <t>ORD00955</t>
  </si>
  <si>
    <t>2024-02-17</t>
  </si>
  <si>
    <t>PID7272</t>
  </si>
  <si>
    <t>ORD00661</t>
  </si>
  <si>
    <t>PID7283</t>
  </si>
  <si>
    <t>ORD00337</t>
  </si>
  <si>
    <t>PID7284</t>
  </si>
  <si>
    <t>ORD00496</t>
  </si>
  <si>
    <t>PID7292</t>
  </si>
  <si>
    <t>ORD00777</t>
  </si>
  <si>
    <t>PID7302</t>
  </si>
  <si>
    <t>ORD00891</t>
  </si>
  <si>
    <t>2025-01-29</t>
  </si>
  <si>
    <t>PID7303</t>
  </si>
  <si>
    <t>ORD00352</t>
  </si>
  <si>
    <t>PID7305</t>
  </si>
  <si>
    <t>ORD00228</t>
  </si>
  <si>
    <t>2024-01-27</t>
  </si>
  <si>
    <t>PID7311</t>
  </si>
  <si>
    <t>ORD00348</t>
  </si>
  <si>
    <t>PID7319</t>
  </si>
  <si>
    <t>ORD00141</t>
  </si>
  <si>
    <t>2025-04-06</t>
  </si>
  <si>
    <t>PID7326</t>
  </si>
  <si>
    <t>ORD00311</t>
  </si>
  <si>
    <t>2024-03-28</t>
  </si>
  <si>
    <t>PID7342</t>
  </si>
  <si>
    <t>ORD00492</t>
  </si>
  <si>
    <t>2025-04-12</t>
  </si>
  <si>
    <t>PID7347</t>
  </si>
  <si>
    <t>ORD00309</t>
  </si>
  <si>
    <t>PID7349</t>
  </si>
  <si>
    <t>ORD00913</t>
  </si>
  <si>
    <t>PID7350</t>
  </si>
  <si>
    <t>ORD00378</t>
  </si>
  <si>
    <t>PID7357</t>
  </si>
  <si>
    <t>ORD00675</t>
  </si>
  <si>
    <t>PID7358</t>
  </si>
  <si>
    <t>ORD00824</t>
  </si>
  <si>
    <t>PID7359</t>
  </si>
  <si>
    <t>ORD00245</t>
  </si>
  <si>
    <t>2024-04-30</t>
  </si>
  <si>
    <t>PID7364</t>
  </si>
  <si>
    <t>ORD00790</t>
  </si>
  <si>
    <t>2025-12-30</t>
  </si>
  <si>
    <t>PID7366</t>
  </si>
  <si>
    <t>ORD00560</t>
  </si>
  <si>
    <t>PID7369</t>
  </si>
  <si>
    <t>ORD00226</t>
  </si>
  <si>
    <t>2024-03-25</t>
  </si>
  <si>
    <t>PID7383</t>
  </si>
  <si>
    <t>ORD00049</t>
  </si>
  <si>
    <t>PID7389</t>
  </si>
  <si>
    <t>ORD00022</t>
  </si>
  <si>
    <t>PID7396</t>
  </si>
  <si>
    <t>ORD00998</t>
  </si>
  <si>
    <t>PID7409</t>
  </si>
  <si>
    <t>ORD00730</t>
  </si>
  <si>
    <t>2025-11-19</t>
  </si>
  <si>
    <t>PID7435</t>
  </si>
  <si>
    <t>ORD00650</t>
  </si>
  <si>
    <t>2025-12-02</t>
  </si>
  <si>
    <t>PID7438</t>
  </si>
  <si>
    <t>ORD00937</t>
  </si>
  <si>
    <t>PID7444</t>
  </si>
  <si>
    <t>ORD00182</t>
  </si>
  <si>
    <t>PID7464</t>
  </si>
  <si>
    <t>ORD00414</t>
  </si>
  <si>
    <t>PID7474</t>
  </si>
  <si>
    <t>ORD00231</t>
  </si>
  <si>
    <t>PID7483</t>
  </si>
  <si>
    <t>ORD00224</t>
  </si>
  <si>
    <t>PID7499</t>
  </si>
  <si>
    <t>ORD00920</t>
  </si>
  <si>
    <t>2025-04-24</t>
  </si>
  <si>
    <t>PID7503</t>
  </si>
  <si>
    <t>ORD00876</t>
  </si>
  <si>
    <t>PID7512</t>
  </si>
  <si>
    <t>ORD00409</t>
  </si>
  <si>
    <t>2025-07-26</t>
  </si>
  <si>
    <t>PID7522</t>
  </si>
  <si>
    <t>ORD00673</t>
  </si>
  <si>
    <t>PID7535</t>
  </si>
  <si>
    <t>ORD00419</t>
  </si>
  <si>
    <t>2024-12-27</t>
  </si>
  <si>
    <t>PID7536</t>
  </si>
  <si>
    <t>ORD00986</t>
  </si>
  <si>
    <t>2024-02-02</t>
  </si>
  <si>
    <t>PID7539</t>
  </si>
  <si>
    <t>ORD00775</t>
  </si>
  <si>
    <t>PID7541</t>
  </si>
  <si>
    <t>ORD00863</t>
  </si>
  <si>
    <t>PID7551</t>
  </si>
  <si>
    <t>ORD00759</t>
  </si>
  <si>
    <t>2024-11-25</t>
  </si>
  <si>
    <t>PID7569</t>
  </si>
  <si>
    <t>ORD00814</t>
  </si>
  <si>
    <t>2024-02-28</t>
  </si>
  <si>
    <t>PID7583</t>
  </si>
  <si>
    <t>ORD00564</t>
  </si>
  <si>
    <t>2025-05-24</t>
  </si>
  <si>
    <t>PID7586</t>
  </si>
  <si>
    <t>ORD00268</t>
  </si>
  <si>
    <t>PID7590</t>
  </si>
  <si>
    <t>ORD00956</t>
  </si>
  <si>
    <t>2025-10-21</t>
  </si>
  <si>
    <t>PID7599</t>
  </si>
  <si>
    <t>ORD00172</t>
  </si>
  <si>
    <t>PID7606</t>
  </si>
  <si>
    <t>ORD00050</t>
  </si>
  <si>
    <t>2024-10-06</t>
  </si>
  <si>
    <t>PID7624</t>
  </si>
  <si>
    <t>ORD00702</t>
  </si>
  <si>
    <t>PID7627</t>
  </si>
  <si>
    <t>ORD00581</t>
  </si>
  <si>
    <t>2025-12-21</t>
  </si>
  <si>
    <t>PID7641</t>
  </si>
  <si>
    <t>ORD00561</t>
  </si>
  <si>
    <t>PID7643</t>
  </si>
  <si>
    <t>ORD00641</t>
  </si>
  <si>
    <t>2025-02-26</t>
  </si>
  <si>
    <t>PID7649</t>
  </si>
  <si>
    <t>ORD00651</t>
  </si>
  <si>
    <t>2024-10-31</t>
  </si>
  <si>
    <t>PID7656</t>
  </si>
  <si>
    <t>ORD00185</t>
  </si>
  <si>
    <t>2025-04-28</t>
  </si>
  <si>
    <t>PID7666</t>
  </si>
  <si>
    <t>ORD00319</t>
  </si>
  <si>
    <t>2024-11-24</t>
  </si>
  <si>
    <t>PID7671</t>
  </si>
  <si>
    <t>ORD00079</t>
  </si>
  <si>
    <t>PID7684</t>
  </si>
  <si>
    <t>ORD00039</t>
  </si>
  <si>
    <t>2025-09-30</t>
  </si>
  <si>
    <t>PID7691</t>
  </si>
  <si>
    <t>ORD00711</t>
  </si>
  <si>
    <t>2025-04-29</t>
  </si>
  <si>
    <t>PID7694</t>
  </si>
  <si>
    <t>ORD00234</t>
  </si>
  <si>
    <t>2024-01-28</t>
  </si>
  <si>
    <t>PID7703</t>
  </si>
  <si>
    <t>ORD00398</t>
  </si>
  <si>
    <t>2024-04-26</t>
  </si>
  <si>
    <t>PID7732</t>
  </si>
  <si>
    <t>ORD00573</t>
  </si>
  <si>
    <t>2025-11-24</t>
  </si>
  <si>
    <t>PID7759</t>
  </si>
  <si>
    <t>ORD00600</t>
  </si>
  <si>
    <t>PID7786</t>
  </si>
  <si>
    <t>ORD00359</t>
  </si>
  <si>
    <t>2025-02-06</t>
  </si>
  <si>
    <t>PID7790</t>
  </si>
  <si>
    <t>ORD00697</t>
  </si>
  <si>
    <t>PID7799</t>
  </si>
  <si>
    <t>ORD00565</t>
  </si>
  <si>
    <t>PID7801</t>
  </si>
  <si>
    <t>ORD00080</t>
  </si>
  <si>
    <t>PID7807</t>
  </si>
  <si>
    <t>ORD00095</t>
  </si>
  <si>
    <t>ORD00048</t>
  </si>
  <si>
    <t>2025-01-27</t>
  </si>
  <si>
    <t>PID7812</t>
  </si>
  <si>
    <t>ORD00238</t>
  </si>
  <si>
    <t>2025-11-26</t>
  </si>
  <si>
    <t>PID7815</t>
  </si>
  <si>
    <t>ORD00691</t>
  </si>
  <si>
    <t>2025-11-14</t>
  </si>
  <si>
    <t>ORD00145</t>
  </si>
  <si>
    <t>PID7825</t>
  </si>
  <si>
    <t>ORD00169</t>
  </si>
  <si>
    <t>PID7850</t>
  </si>
  <si>
    <t>ORD00924</t>
  </si>
  <si>
    <t>PID7876</t>
  </si>
  <si>
    <t>ORD00943</t>
  </si>
  <si>
    <t>2024-01-23</t>
  </si>
  <si>
    <t>PID7879</t>
  </si>
  <si>
    <t>ORD00199</t>
  </si>
  <si>
    <t>PID7887</t>
  </si>
  <si>
    <t>ORD00331</t>
  </si>
  <si>
    <t>2024-07-06</t>
  </si>
  <si>
    <t>PID7889</t>
  </si>
  <si>
    <t>ORD00990</t>
  </si>
  <si>
    <t>PID7896</t>
  </si>
  <si>
    <t>ORD00364</t>
  </si>
  <si>
    <t>2025-07-29</t>
  </si>
  <si>
    <t>PID7920</t>
  </si>
  <si>
    <t>ORD00633</t>
  </si>
  <si>
    <t>2024-11-08</t>
  </si>
  <si>
    <t>PID7921</t>
  </si>
  <si>
    <t>ORD00015</t>
  </si>
  <si>
    <t>2024-05-08</t>
  </si>
  <si>
    <t>PID7932</t>
  </si>
  <si>
    <t>ORD00896</t>
  </si>
  <si>
    <t>PID7944</t>
  </si>
  <si>
    <t>ORD00623</t>
  </si>
  <si>
    <t>PID7958</t>
  </si>
  <si>
    <t>ORD00893</t>
  </si>
  <si>
    <t>PID7967</t>
  </si>
  <si>
    <t>ORD00582</t>
  </si>
  <si>
    <t>PID7977</t>
  </si>
  <si>
    <t>ORD00806</t>
  </si>
  <si>
    <t>PID7993</t>
  </si>
  <si>
    <t>ORD00736</t>
  </si>
  <si>
    <t>2025-12-10</t>
  </si>
  <si>
    <t>PID7997</t>
  </si>
  <si>
    <t>ORD00190</t>
  </si>
  <si>
    <t>PID8007</t>
  </si>
  <si>
    <t>ORD00251</t>
  </si>
  <si>
    <t>PID8015</t>
  </si>
  <si>
    <t>ORD00009</t>
  </si>
  <si>
    <t>PID8019</t>
  </si>
  <si>
    <t>ORD00122</t>
  </si>
  <si>
    <t>PID8033</t>
  </si>
  <si>
    <t>ORD00951</t>
  </si>
  <si>
    <t>PID8035</t>
  </si>
  <si>
    <t>ORD00756</t>
  </si>
  <si>
    <t>PID8037</t>
  </si>
  <si>
    <t>ORD00979</t>
  </si>
  <si>
    <t>PID8056</t>
  </si>
  <si>
    <t>ORD00554</t>
  </si>
  <si>
    <t>PID8065</t>
  </si>
  <si>
    <t>ORD00360</t>
  </si>
  <si>
    <t>PID8091</t>
  </si>
  <si>
    <t>ORD00288</t>
  </si>
  <si>
    <t>PID8096</t>
  </si>
  <si>
    <t>ORD00970</t>
  </si>
  <si>
    <t>2024-07-12</t>
  </si>
  <si>
    <t>PID8103</t>
  </si>
  <si>
    <t>ORD00335</t>
  </si>
  <si>
    <t>PID8105</t>
  </si>
  <si>
    <t>ORD00338</t>
  </si>
  <si>
    <t>2024-02-16</t>
  </si>
  <si>
    <t>ORD00639</t>
  </si>
  <si>
    <t>PID8106</t>
  </si>
  <si>
    <t>ORD00755</t>
  </si>
  <si>
    <t>2024-09-02</t>
  </si>
  <si>
    <t>ORD00530</t>
  </si>
  <si>
    <t>PID8122</t>
  </si>
  <si>
    <t>ORD00153</t>
  </si>
  <si>
    <t>PID8126</t>
  </si>
  <si>
    <t>ORD00313</t>
  </si>
  <si>
    <t>PID8133</t>
  </si>
  <si>
    <t>ORD00640</t>
  </si>
  <si>
    <t>ORD00959</t>
  </si>
  <si>
    <t>PID8138</t>
  </si>
  <si>
    <t>ORD00387</t>
  </si>
  <si>
    <t>PID8145</t>
  </si>
  <si>
    <t>ORD00534</t>
  </si>
  <si>
    <t>2024-05-17</t>
  </si>
  <si>
    <t>PID8155</t>
  </si>
  <si>
    <t>ORD00932</t>
  </si>
  <si>
    <t>2025-01-17</t>
  </si>
  <si>
    <t>PID8167</t>
  </si>
  <si>
    <t>ORD00154</t>
  </si>
  <si>
    <t>PID8179</t>
  </si>
  <si>
    <t>ORD00795</t>
  </si>
  <si>
    <t>PID8247</t>
  </si>
  <si>
    <t>ORD00793</t>
  </si>
  <si>
    <t>2024-10-30</t>
  </si>
  <si>
    <t>PID8270</t>
  </si>
  <si>
    <t>ORD00620</t>
  </si>
  <si>
    <t>2025-05-20</t>
  </si>
  <si>
    <t>PID8273</t>
  </si>
  <si>
    <t>ORD00137</t>
  </si>
  <si>
    <t>2024-06-18</t>
  </si>
  <si>
    <t>PID8277</t>
  </si>
  <si>
    <t>ORD00718</t>
  </si>
  <si>
    <t>PID8278</t>
  </si>
  <si>
    <t>ORD00572</t>
  </si>
  <si>
    <t>PID8287</t>
  </si>
  <si>
    <t>ORD00590</t>
  </si>
  <si>
    <t>2024-12-17</t>
  </si>
  <si>
    <t>PID8295</t>
  </si>
  <si>
    <t>ORD00470</t>
  </si>
  <si>
    <t>PID8300</t>
  </si>
  <si>
    <t>ORD00599</t>
  </si>
  <si>
    <t>2025-03-13</t>
  </si>
  <si>
    <t>ORD00521</t>
  </si>
  <si>
    <t>2025-03-12</t>
  </si>
  <si>
    <t>PID8304</t>
  </si>
  <si>
    <t>ORD00549</t>
  </si>
  <si>
    <t>2024-01-11</t>
  </si>
  <si>
    <t>PID8306</t>
  </si>
  <si>
    <t>ORD00289</t>
  </si>
  <si>
    <t>PID8307</t>
  </si>
  <si>
    <t>ORD00542</t>
  </si>
  <si>
    <t>2024-09-20</t>
  </si>
  <si>
    <t>PID8317</t>
  </si>
  <si>
    <t>ORD00354</t>
  </si>
  <si>
    <t>2024-08-16</t>
  </si>
  <si>
    <t>PID8341</t>
  </si>
  <si>
    <t>ORD00791</t>
  </si>
  <si>
    <t>PID8354</t>
  </si>
  <si>
    <t>ORD00483</t>
  </si>
  <si>
    <t>2024-09-03</t>
  </si>
  <si>
    <t>PID8359</t>
  </si>
  <si>
    <t>ORD00980</t>
  </si>
  <si>
    <t>2025-01-21</t>
  </si>
  <si>
    <t>PID8360</t>
  </si>
  <si>
    <t>ORD00155</t>
  </si>
  <si>
    <t>PID8371</t>
  </si>
  <si>
    <t>ORD00535</t>
  </si>
  <si>
    <t>PID8373</t>
  </si>
  <si>
    <t>ORD00173</t>
  </si>
  <si>
    <t>2025-08-06</t>
  </si>
  <si>
    <t>PID8378</t>
  </si>
  <si>
    <t>ORD00283</t>
  </si>
  <si>
    <t>PID8404</t>
  </si>
  <si>
    <t>ORD00815</t>
  </si>
  <si>
    <t>2024-05-05</t>
  </si>
  <si>
    <t>ORD00714</t>
  </si>
  <si>
    <t>2025-07-14</t>
  </si>
  <si>
    <t>PID8411</t>
  </si>
  <si>
    <t>ORD00728</t>
  </si>
  <si>
    <t>2025-09-17</t>
  </si>
  <si>
    <t>PID8417</t>
  </si>
  <si>
    <t>ORD00571</t>
  </si>
  <si>
    <t>PID8424</t>
  </si>
  <si>
    <t>ORD00983</t>
  </si>
  <si>
    <t>PID8436</t>
  </si>
  <si>
    <t>ORD00744</t>
  </si>
  <si>
    <t>PID8439</t>
  </si>
  <si>
    <t>ORD00495</t>
  </si>
  <si>
    <t>PID8449</t>
  </si>
  <si>
    <t>ORD00574</t>
  </si>
  <si>
    <t>PID8454</t>
  </si>
  <si>
    <t>ORD00680</t>
  </si>
  <si>
    <t>ORD00776</t>
  </si>
  <si>
    <t>PID8476</t>
  </si>
  <si>
    <t>ORD00085</t>
  </si>
  <si>
    <t>PID8486</t>
  </si>
  <si>
    <t>ORD00694</t>
  </si>
  <si>
    <t>PID8489</t>
  </si>
  <si>
    <t>ORD00490</t>
  </si>
  <si>
    <t>2024-03-08</t>
  </si>
  <si>
    <t>PID8496</t>
  </si>
  <si>
    <t>ORD00148</t>
  </si>
  <si>
    <t>PID8498</t>
  </si>
  <si>
    <t>ORD00710</t>
  </si>
  <si>
    <t>PID8499</t>
  </si>
  <si>
    <t>ORD00255</t>
  </si>
  <si>
    <t>PID8511</t>
  </si>
  <si>
    <t>ORD00698</t>
  </si>
  <si>
    <t>PID8516</t>
  </si>
  <si>
    <t>ORD00558</t>
  </si>
  <si>
    <t>PID8530</t>
  </si>
  <si>
    <t>ORD00123</t>
  </si>
  <si>
    <t>PID8538</t>
  </si>
  <si>
    <t>ORD00961</t>
  </si>
  <si>
    <t>PID8548</t>
  </si>
  <si>
    <t>ORD00524</t>
  </si>
  <si>
    <t>PID8556</t>
  </si>
  <si>
    <t>ORD00384</t>
  </si>
  <si>
    <t>PID8557</t>
  </si>
  <si>
    <t>ORD00780</t>
  </si>
  <si>
    <t>2024-07-31</t>
  </si>
  <si>
    <t>PID8567</t>
  </si>
  <si>
    <t>ORD00919</t>
  </si>
  <si>
    <t>PID8573</t>
  </si>
  <si>
    <t>ORD00577</t>
  </si>
  <si>
    <t>PID8581</t>
  </si>
  <si>
    <t>ORD00277</t>
  </si>
  <si>
    <t>PID8600</t>
  </si>
  <si>
    <t>ORD00099</t>
  </si>
  <si>
    <t>PID8606</t>
  </si>
  <si>
    <t>ORD00781</t>
  </si>
  <si>
    <t>2025-02-10</t>
  </si>
  <si>
    <t>ORD00045</t>
  </si>
  <si>
    <t>2025-04-20</t>
  </si>
  <si>
    <t>PID8612</t>
  </si>
  <si>
    <t>ORD00725</t>
  </si>
  <si>
    <t>ORD00667</t>
  </si>
  <si>
    <t>PID8653</t>
  </si>
  <si>
    <t>ORD00934</t>
  </si>
  <si>
    <t>PID8693</t>
  </si>
  <si>
    <t>ORD00476</t>
  </si>
  <si>
    <t>PID8719</t>
  </si>
  <si>
    <t>ORD00292</t>
  </si>
  <si>
    <t>PID8728</t>
  </si>
  <si>
    <t>ORD00690</t>
  </si>
  <si>
    <t>PID8738</t>
  </si>
  <si>
    <t>ORD00142</t>
  </si>
  <si>
    <t>2024-11-22</t>
  </si>
  <si>
    <t>PID8740</t>
  </si>
  <si>
    <t>ORD00018</t>
  </si>
  <si>
    <t>PID8744</t>
  </si>
  <si>
    <t>ORD00356</t>
  </si>
  <si>
    <t>2024-12-15</t>
  </si>
  <si>
    <t>PID8751</t>
  </si>
  <si>
    <t>ORD00540</t>
  </si>
  <si>
    <t>2024-06-20</t>
  </si>
  <si>
    <t>PID8752</t>
  </si>
  <si>
    <t>ORD00324</t>
  </si>
  <si>
    <t>2025-10-29</t>
  </si>
  <si>
    <t>PID8767</t>
  </si>
  <si>
    <t>ORD00570</t>
  </si>
  <si>
    <t>PID8772</t>
  </si>
  <si>
    <t>ORD00322</t>
  </si>
  <si>
    <t>PID8775</t>
  </si>
  <si>
    <t>ORD00774</t>
  </si>
  <si>
    <t>2025-02-02</t>
  </si>
  <si>
    <t>PID8778</t>
  </si>
  <si>
    <t>ORD00450</t>
  </si>
  <si>
    <t>PID8786</t>
  </si>
  <si>
    <t>ORD00605</t>
  </si>
  <si>
    <t>PID8799</t>
  </si>
  <si>
    <t>ORD00061</t>
  </si>
  <si>
    <t>2024-07-14</t>
  </si>
  <si>
    <t>PID8800</t>
  </si>
  <si>
    <t>ORD00817</t>
  </si>
  <si>
    <t>ORD00921</t>
  </si>
  <si>
    <t>2024-03-07</t>
  </si>
  <si>
    <t>PID8802</t>
  </si>
  <si>
    <t>ORD00973</t>
  </si>
  <si>
    <t>2024-12-21</t>
  </si>
  <si>
    <t>PID8811</t>
  </si>
  <si>
    <t>ORD00677</t>
  </si>
  <si>
    <t>2025-06-23</t>
  </si>
  <si>
    <t>PID8825</t>
  </si>
  <si>
    <t>ORD00811</t>
  </si>
  <si>
    <t>PID8829</t>
  </si>
  <si>
    <t>ORD00962</t>
  </si>
  <si>
    <t>PID8830</t>
  </si>
  <si>
    <t>ORD00584</t>
  </si>
  <si>
    <t>PID8839</t>
  </si>
  <si>
    <t>ORD00210</t>
  </si>
  <si>
    <t>2024-01-16</t>
  </si>
  <si>
    <t>PID8846</t>
  </si>
  <si>
    <t>ORD00232</t>
  </si>
  <si>
    <t>2024-12-08</t>
  </si>
  <si>
    <t>PID8848</t>
  </si>
  <si>
    <t>ORD00235</t>
  </si>
  <si>
    <t>2024-09-04</t>
  </si>
  <si>
    <t>PID8851</t>
  </si>
  <si>
    <t>ORD00096</t>
  </si>
  <si>
    <t>2025-01-09</t>
  </si>
  <si>
    <t>PID8894</t>
  </si>
  <si>
    <t>ORD00557</t>
  </si>
  <si>
    <t>PID8898</t>
  </si>
  <si>
    <t>ORD00514</t>
  </si>
  <si>
    <t>2025-01-18</t>
  </si>
  <si>
    <t>PID8907</t>
  </si>
  <si>
    <t>ORD00349</t>
  </si>
  <si>
    <t>PID8908</t>
  </si>
  <si>
    <t>ORD00216</t>
  </si>
  <si>
    <t>PID8916</t>
  </si>
  <si>
    <t>ORD00996</t>
  </si>
  <si>
    <t>PID8925</t>
  </si>
  <si>
    <t>ORD00978</t>
  </si>
  <si>
    <t>PID8935</t>
  </si>
  <si>
    <t>ORD00624</t>
  </si>
  <si>
    <t>2025-08-30</t>
  </si>
  <si>
    <t>PID8938</t>
  </si>
  <si>
    <t>ORD00609</t>
  </si>
  <si>
    <t>PID8944</t>
  </si>
  <si>
    <t>ORD00685</t>
  </si>
  <si>
    <t>PID8947</t>
  </si>
  <si>
    <t>ORD00118</t>
  </si>
  <si>
    <t>PID8957</t>
  </si>
  <si>
    <t>ORD00643</t>
  </si>
  <si>
    <t>PID8960</t>
  </si>
  <si>
    <t>ORD00585</t>
  </si>
  <si>
    <t>PID8966</t>
  </si>
  <si>
    <t>ORD00119</t>
  </si>
  <si>
    <t>PID8972</t>
  </si>
  <si>
    <t>ORD00527</t>
  </si>
  <si>
    <t>ORD00682</t>
  </si>
  <si>
    <t>2024-04-29</t>
  </si>
  <si>
    <t>PID8974</t>
  </si>
  <si>
    <t>ORD00298</t>
  </si>
  <si>
    <t>PID8982</t>
  </si>
  <si>
    <t>ORD00687</t>
  </si>
  <si>
    <t>2025-08-15</t>
  </si>
  <si>
    <t>PID8993</t>
  </si>
  <si>
    <t>ORD00916</t>
  </si>
  <si>
    <t>PID8999</t>
  </si>
  <si>
    <t>ORD00243</t>
  </si>
  <si>
    <t>PID9019</t>
  </si>
  <si>
    <t>ORD00082</t>
  </si>
  <si>
    <t>PID9022</t>
  </si>
  <si>
    <t>ORD00176</t>
  </si>
  <si>
    <t>PID9025</t>
  </si>
  <si>
    <t>ORD00458</t>
  </si>
  <si>
    <t>2025-05-12</t>
  </si>
  <si>
    <t>PID9026</t>
  </si>
  <si>
    <t>ORD00057</t>
  </si>
  <si>
    <t>PID9031</t>
  </si>
  <si>
    <t>ORD00647</t>
  </si>
  <si>
    <t>PID9034</t>
  </si>
  <si>
    <t>ORD00629</t>
  </si>
  <si>
    <t>PID9037</t>
  </si>
  <si>
    <t>ORD00666</t>
  </si>
  <si>
    <t>PID9049</t>
  </si>
  <si>
    <t>ORD00621</t>
  </si>
  <si>
    <t>PID9055</t>
  </si>
  <si>
    <t>ORD00821</t>
  </si>
  <si>
    <t>PID9060</t>
  </si>
  <si>
    <t>ORD00722</t>
  </si>
  <si>
    <t>2025-01-19</t>
  </si>
  <si>
    <t>PID9076</t>
  </si>
  <si>
    <t>ORD00188</t>
  </si>
  <si>
    <t>PID9092</t>
  </si>
  <si>
    <t>ORD00658</t>
  </si>
  <si>
    <t>PID9096</t>
  </si>
  <si>
    <t>ORD00171</t>
  </si>
  <si>
    <t>PID9108</t>
  </si>
  <si>
    <t>ORD00247</t>
  </si>
  <si>
    <t>PID9109</t>
  </si>
  <si>
    <t>ORD00445</t>
  </si>
  <si>
    <t>PID9165</t>
  </si>
  <si>
    <t>ORD00594</t>
  </si>
  <si>
    <t>2025-01-16</t>
  </si>
  <si>
    <t>PID9182</t>
  </si>
  <si>
    <t>ORD00220</t>
  </si>
  <si>
    <t>PID9189</t>
  </si>
  <si>
    <t>ORD00121</t>
  </si>
  <si>
    <t>PID9196</t>
  </si>
  <si>
    <t>ORD00724</t>
  </si>
  <si>
    <t>2025-07-22</t>
  </si>
  <si>
    <t>PID9199</t>
  </si>
  <si>
    <t>ORD00536</t>
  </si>
  <si>
    <t>2025-03-10</t>
  </si>
  <si>
    <t>PID9220</t>
  </si>
  <si>
    <t>ORD00904</t>
  </si>
  <si>
    <t>PID9222</t>
  </si>
  <si>
    <t>ORD00275</t>
  </si>
  <si>
    <t>PID9225</t>
  </si>
  <si>
    <t>ORD00312</t>
  </si>
  <si>
    <t>PID9226</t>
  </si>
  <si>
    <t>ORD00291</t>
  </si>
  <si>
    <t>2025-12-31</t>
  </si>
  <si>
    <t>PID9231</t>
  </si>
  <si>
    <t>ORD00164</t>
  </si>
  <si>
    <t>2024-07-20</t>
  </si>
  <si>
    <t>PID9234</t>
  </si>
  <si>
    <t>ORD01000</t>
  </si>
  <si>
    <t>PID9244</t>
  </si>
  <si>
    <t>ORD00875</t>
  </si>
  <si>
    <t>2025-10-06</t>
  </si>
  <si>
    <t>PID9255</t>
  </si>
  <si>
    <t>ORD00361</t>
  </si>
  <si>
    <t>PID9259</t>
  </si>
  <si>
    <t>ORD00617</t>
  </si>
  <si>
    <t>PID9260</t>
  </si>
  <si>
    <t>ORD00818</t>
  </si>
  <si>
    <t>PID9267</t>
  </si>
  <si>
    <t>ORD00705</t>
  </si>
  <si>
    <t>PID9314</t>
  </si>
  <si>
    <t>ORD00689</t>
  </si>
  <si>
    <t>PID9317</t>
  </si>
  <si>
    <t>ORD00758</t>
  </si>
  <si>
    <t>PID9342</t>
  </si>
  <si>
    <t>ORD00835</t>
  </si>
  <si>
    <t>2024-10-08</t>
  </si>
  <si>
    <t>PID9351</t>
  </si>
  <si>
    <t>ORD00037</t>
  </si>
  <si>
    <t>2025-09-02</t>
  </si>
  <si>
    <t>PID9379</t>
  </si>
  <si>
    <t>ORD00761</t>
  </si>
  <si>
    <t>PID9392</t>
  </si>
  <si>
    <t>ORD00362</t>
  </si>
  <si>
    <t>PID9393</t>
  </si>
  <si>
    <t>ORD00140</t>
  </si>
  <si>
    <t>2025-07-21</t>
  </si>
  <si>
    <t>PID9410</t>
  </si>
  <si>
    <t>ORD00849</t>
  </si>
  <si>
    <t>PID9414</t>
  </si>
  <si>
    <t>ORD00175</t>
  </si>
  <si>
    <t>2024-02-09</t>
  </si>
  <si>
    <t>PID9446</t>
  </si>
  <si>
    <t>ORD00515</t>
  </si>
  <si>
    <t>2025-05-10</t>
  </si>
  <si>
    <t>PID9456</t>
  </si>
  <si>
    <t>ORD00654</t>
  </si>
  <si>
    <t>PID9460</t>
  </si>
  <si>
    <t>ORD00589</t>
  </si>
  <si>
    <t>PID9513</t>
  </si>
  <si>
    <t>ORD00314</t>
  </si>
  <si>
    <t>PID9514</t>
  </si>
  <si>
    <t>ORD00700</t>
  </si>
  <si>
    <t>PID9516</t>
  </si>
  <si>
    <t>ORD00995</t>
  </si>
  <si>
    <t>ORD00812</t>
  </si>
  <si>
    <t>PID9520</t>
  </si>
  <si>
    <t>ORD00981</t>
  </si>
  <si>
    <t>ORD00433</t>
  </si>
  <si>
    <t>PID9535</t>
  </si>
  <si>
    <t>ORD00394</t>
  </si>
  <si>
    <t>PID9542</t>
  </si>
  <si>
    <t>ORD00404</t>
  </si>
  <si>
    <t>PID9553</t>
  </si>
  <si>
    <t>ORD00025</t>
  </si>
  <si>
    <t>2024-05-02</t>
  </si>
  <si>
    <t>PID9565</t>
  </si>
  <si>
    <t>ORD00784</t>
  </si>
  <si>
    <t>PID9566</t>
  </si>
  <si>
    <t>ORD00735</t>
  </si>
  <si>
    <t>PID9570</t>
  </si>
  <si>
    <t>ORD00343</t>
  </si>
  <si>
    <t>PID9571</t>
  </si>
  <si>
    <t>ORD00438</t>
  </si>
  <si>
    <t>2024-06-30</t>
  </si>
  <si>
    <t>PID9576</t>
  </si>
  <si>
    <t>ORD00484</t>
  </si>
  <si>
    <t>PID9582</t>
  </si>
  <si>
    <t>ORD00320</t>
  </si>
  <si>
    <t>2025-06-11</t>
  </si>
  <si>
    <t>PID9589</t>
  </si>
  <si>
    <t>ORD00469</t>
  </si>
  <si>
    <t>2024-05-03</t>
  </si>
  <si>
    <t>PID9591</t>
  </si>
  <si>
    <t>ORD00351</t>
  </si>
  <si>
    <t>PID9598</t>
  </si>
  <si>
    <t>ORD00808</t>
  </si>
  <si>
    <t>PID9600</t>
  </si>
  <si>
    <t>ORD00645</t>
  </si>
  <si>
    <t>2025-08-07</t>
  </si>
  <si>
    <t>PID9605</t>
  </si>
  <si>
    <t>ORD00610</t>
  </si>
  <si>
    <t>PID9612</t>
  </si>
  <si>
    <t>ORD00134</t>
  </si>
  <si>
    <t>2025-01-20</t>
  </si>
  <si>
    <t>PID9624</t>
  </si>
  <si>
    <t>ORD00953</t>
  </si>
  <si>
    <t>2025-08-04</t>
  </si>
  <si>
    <t>PID9638</t>
  </si>
  <si>
    <t>ORD00902</t>
  </si>
  <si>
    <t>PID9641</t>
  </si>
  <si>
    <t>ORD00143</t>
  </si>
  <si>
    <t>PID9647</t>
  </si>
  <si>
    <t>ORD00719</t>
  </si>
  <si>
    <t>PID9649</t>
  </si>
  <si>
    <t>ORD00207</t>
  </si>
  <si>
    <t>PID9683</t>
  </si>
  <si>
    <t>ORD00569</t>
  </si>
  <si>
    <t>2024-03-31</t>
  </si>
  <si>
    <t>PID9686</t>
  </si>
  <si>
    <t>ORD00013</t>
  </si>
  <si>
    <t>PID9689</t>
  </si>
  <si>
    <t>ORD00664</t>
  </si>
  <si>
    <t>PID9690</t>
  </si>
  <si>
    <t>ORD00403</t>
  </si>
  <si>
    <t>PID9706</t>
  </si>
  <si>
    <t>ORD00971</t>
  </si>
  <si>
    <t>PID9718</t>
  </si>
  <si>
    <t>ORD00853</t>
  </si>
  <si>
    <t>PID9722</t>
  </si>
  <si>
    <t>ORD00897</t>
  </si>
  <si>
    <t>PID9724</t>
  </si>
  <si>
    <t>ORD00706</t>
  </si>
  <si>
    <t>PID9737</t>
  </si>
  <si>
    <t>ORD00770</t>
  </si>
  <si>
    <t>PID9757</t>
  </si>
  <si>
    <t>ORD00491</t>
  </si>
  <si>
    <t>2025-09-14</t>
  </si>
  <si>
    <t>PID9784</t>
  </si>
  <si>
    <t>ORD00837</t>
  </si>
  <si>
    <t>2024-03-06</t>
  </si>
  <si>
    <t>PID9788</t>
  </si>
  <si>
    <t>ORD00382</t>
  </si>
  <si>
    <t>PID9800</t>
  </si>
  <si>
    <t>ORD00200</t>
  </si>
  <si>
    <t>PID9802</t>
  </si>
  <si>
    <t>ORD00100</t>
  </si>
  <si>
    <t>PID9807</t>
  </si>
  <si>
    <t>ORD00778</t>
  </si>
  <si>
    <t>2025-12-16</t>
  </si>
  <si>
    <t>PID9810</t>
  </si>
  <si>
    <t>ORD00058</t>
  </si>
  <si>
    <t>2025-12-25</t>
  </si>
  <si>
    <t>PID9817</t>
  </si>
  <si>
    <t>ORD00430</t>
  </si>
  <si>
    <t>PID9821</t>
  </si>
  <si>
    <t>ORD00704</t>
  </si>
  <si>
    <t>PID9846</t>
  </si>
  <si>
    <t>ORD00047</t>
  </si>
  <si>
    <t>PID9849</t>
  </si>
  <si>
    <t>ORD00105</t>
  </si>
  <si>
    <t>PID9850</t>
  </si>
  <si>
    <t>ORD00223</t>
  </si>
  <si>
    <t>2024-06-15</t>
  </si>
  <si>
    <t>PID9856</t>
  </si>
  <si>
    <t>ORD00627</t>
  </si>
  <si>
    <t>ORD00819</t>
  </si>
  <si>
    <t>PID9858</t>
  </si>
  <si>
    <t>ORD00423</t>
  </si>
  <si>
    <t>PID9859</t>
  </si>
  <si>
    <t>ORD00703</t>
  </si>
  <si>
    <t>PID9860</t>
  </si>
  <si>
    <t>ORD00023</t>
  </si>
  <si>
    <t>2025-12-14</t>
  </si>
  <si>
    <t>PID9883</t>
  </si>
  <si>
    <t>ORD00077</t>
  </si>
  <si>
    <t>2024-11-27</t>
  </si>
  <si>
    <t>PID9889</t>
  </si>
  <si>
    <t>ORD00149</t>
  </si>
  <si>
    <t>PID9897</t>
  </si>
  <si>
    <t>ORD00249</t>
  </si>
  <si>
    <t>PID9898</t>
  </si>
  <si>
    <t>ORD00933</t>
  </si>
  <si>
    <t>PID9924</t>
  </si>
  <si>
    <t>ORD00002</t>
  </si>
  <si>
    <t>PID9928</t>
  </si>
  <si>
    <t>ORD00988</t>
  </si>
  <si>
    <t>PID9942</t>
  </si>
  <si>
    <t>ORD00303</t>
  </si>
  <si>
    <t>2025-03-24</t>
  </si>
  <si>
    <t>PID9946</t>
  </si>
  <si>
    <t>ORD00494</t>
  </si>
  <si>
    <t>2025-10-23</t>
  </si>
  <si>
    <t>PID9952</t>
  </si>
  <si>
    <t>ORD00214</t>
  </si>
  <si>
    <t>PID9954</t>
  </si>
  <si>
    <t>ORD00873</t>
  </si>
  <si>
    <t>2025-08-23</t>
  </si>
  <si>
    <t>PID9955</t>
  </si>
  <si>
    <t>ORD00763</t>
  </si>
  <si>
    <t>PID9956</t>
  </si>
  <si>
    <t>ORD00914</t>
  </si>
  <si>
    <t>2025-08-03</t>
  </si>
  <si>
    <t>PID9964</t>
  </si>
  <si>
    <t>ORD00638</t>
  </si>
  <si>
    <t>PID9971</t>
  </si>
  <si>
    <t>ORD00109</t>
  </si>
  <si>
    <t>PID9984</t>
  </si>
  <si>
    <t>ORD00531</t>
  </si>
  <si>
    <t>PID9992</t>
  </si>
  <si>
    <t>ORD00078</t>
  </si>
  <si>
    <t>PID9998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</si>
</sst>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readingOrder="0" shrinkToFit="0" wrapText="1"/>
    </xf>
    <xf borderId="0" fillId="3" fontId="1" numFmtId="4" xfId="0" applyAlignment="1" applyFont="1" applyNumberFormat="1">
      <alignment readingOrder="0" shrinkToFit="0" wrapText="1"/>
    </xf>
    <xf borderId="0" fillId="3" fontId="1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0" fontId="2" numFmtId="0" xfId="0" applyFont="1"/>
    <xf borderId="0" fillId="0" fontId="2" numFmtId="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11.71"/>
    <col customWidth="1" min="3" max="3" width="10.71"/>
    <col customWidth="1" min="4" max="4" width="11.14"/>
    <col customWidth="1" min="5" max="5" width="9.43"/>
    <col customWidth="1" min="6" max="6" width="9.86"/>
    <col customWidth="1" min="7" max="7" width="8.71"/>
    <col customWidth="1" min="8" max="8" width="6.29"/>
    <col customWidth="1" min="9" max="9" width="6.57"/>
    <col customWidth="1" min="10" max="10" width="8.71"/>
    <col customWidth="1" min="11" max="11" width="9.57"/>
    <col customWidth="1" min="12" max="12" width="9.86"/>
    <col customWidth="1" min="13" max="13" width="10.86"/>
    <col customWidth="1" min="14" max="15" width="8.71"/>
    <col customWidth="1" min="16" max="16" width="13.0"/>
    <col customWidth="1" min="17" max="17" width="12.0"/>
    <col customWidth="1" min="18" max="18" width="10.0"/>
    <col customWidth="1" min="1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>
        <v>5.0</v>
      </c>
      <c r="H2" s="6">
        <v>185.79</v>
      </c>
      <c r="I2" s="6">
        <v>269.05</v>
      </c>
      <c r="J2" s="6">
        <v>10.58</v>
      </c>
      <c r="K2" s="6" t="s">
        <v>24</v>
      </c>
      <c r="L2" s="6" t="s">
        <v>25</v>
      </c>
      <c r="M2" s="6">
        <f t="shared" ref="M2:M1001" si="1">G2*H2</f>
        <v>928.95</v>
      </c>
      <c r="N2" s="6">
        <f t="shared" ref="N2:N1001" si="2">G2*(I2-(I2*J2/100))</f>
        <v>1202.92255</v>
      </c>
      <c r="O2" s="6">
        <f t="shared" ref="O2:O1001" si="3">N2-M2</f>
        <v>273.97255</v>
      </c>
      <c r="P2" s="7">
        <f t="shared" ref="P2:P1001" si="4">(N2-M2)/N2</f>
        <v>0.2277557686</v>
      </c>
      <c r="Q2" s="6" t="s">
        <v>26</v>
      </c>
      <c r="R2" s="8">
        <f t="shared" ref="R2:R1001" si="5">(I2*G2)*J2/100</f>
        <v>142.32745</v>
      </c>
    </row>
    <row r="3" ht="14.25" customHeight="1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>
        <v>1.0</v>
      </c>
      <c r="H3" s="6">
        <v>85.93</v>
      </c>
      <c r="I3" s="6">
        <v>133.37</v>
      </c>
      <c r="J3" s="6">
        <v>13.93</v>
      </c>
      <c r="K3" s="6" t="s">
        <v>24</v>
      </c>
      <c r="L3" s="6" t="s">
        <v>33</v>
      </c>
      <c r="M3" s="6">
        <f t="shared" si="1"/>
        <v>85.93</v>
      </c>
      <c r="N3" s="6">
        <f t="shared" si="2"/>
        <v>114.791559</v>
      </c>
      <c r="O3" s="6">
        <f t="shared" si="3"/>
        <v>28.861559</v>
      </c>
      <c r="P3" s="7">
        <f t="shared" si="4"/>
        <v>0.2514257952</v>
      </c>
      <c r="Q3" s="6" t="s">
        <v>34</v>
      </c>
      <c r="R3" s="8">
        <f t="shared" si="5"/>
        <v>18.578441</v>
      </c>
    </row>
    <row r="4" ht="14.25" customHeight="1">
      <c r="A4" s="6" t="s">
        <v>35</v>
      </c>
      <c r="B4" s="6" t="s">
        <v>36</v>
      </c>
      <c r="C4" s="6" t="s">
        <v>37</v>
      </c>
      <c r="D4" s="6" t="s">
        <v>30</v>
      </c>
      <c r="E4" s="6" t="s">
        <v>38</v>
      </c>
      <c r="F4" s="6" t="s">
        <v>39</v>
      </c>
      <c r="G4" s="6">
        <v>8.0</v>
      </c>
      <c r="H4" s="6">
        <v>155.52</v>
      </c>
      <c r="I4" s="6">
        <v>239.03</v>
      </c>
      <c r="J4" s="6">
        <v>16.51</v>
      </c>
      <c r="K4" s="6" t="s">
        <v>24</v>
      </c>
      <c r="L4" s="6" t="s">
        <v>33</v>
      </c>
      <c r="M4" s="6">
        <f t="shared" si="1"/>
        <v>1244.16</v>
      </c>
      <c r="N4" s="6">
        <f t="shared" si="2"/>
        <v>1596.529176</v>
      </c>
      <c r="O4" s="6">
        <f t="shared" si="3"/>
        <v>352.369176</v>
      </c>
      <c r="P4" s="7">
        <f t="shared" si="4"/>
        <v>0.2207095124</v>
      </c>
      <c r="Q4" s="6" t="s">
        <v>40</v>
      </c>
      <c r="R4" s="8">
        <f t="shared" si="5"/>
        <v>315.710824</v>
      </c>
    </row>
    <row r="5" ht="14.25" customHeight="1">
      <c r="A5" s="6" t="s">
        <v>41</v>
      </c>
      <c r="B5" s="6" t="s">
        <v>42</v>
      </c>
      <c r="C5" s="6" t="s">
        <v>43</v>
      </c>
      <c r="D5" s="6" t="s">
        <v>21</v>
      </c>
      <c r="E5" s="6" t="s">
        <v>22</v>
      </c>
      <c r="F5" s="6" t="s">
        <v>23</v>
      </c>
      <c r="G5" s="6">
        <v>5.0</v>
      </c>
      <c r="H5" s="6">
        <v>108.03</v>
      </c>
      <c r="I5" s="6">
        <v>133.33</v>
      </c>
      <c r="J5" s="6">
        <v>10.38</v>
      </c>
      <c r="K5" s="6" t="s">
        <v>44</v>
      </c>
      <c r="L5" s="6" t="s">
        <v>33</v>
      </c>
      <c r="M5" s="6">
        <f t="shared" si="1"/>
        <v>540.15</v>
      </c>
      <c r="N5" s="6">
        <f t="shared" si="2"/>
        <v>597.45173</v>
      </c>
      <c r="O5" s="6">
        <f t="shared" si="3"/>
        <v>57.30173</v>
      </c>
      <c r="P5" s="7">
        <f t="shared" si="4"/>
        <v>0.09591022525</v>
      </c>
      <c r="Q5" s="6" t="s">
        <v>34</v>
      </c>
      <c r="R5" s="8">
        <f t="shared" si="5"/>
        <v>69.19827</v>
      </c>
    </row>
    <row r="6" ht="14.25" customHeight="1">
      <c r="A6" s="6" t="s">
        <v>45</v>
      </c>
      <c r="B6" s="6" t="s">
        <v>46</v>
      </c>
      <c r="C6" s="6" t="s">
        <v>47</v>
      </c>
      <c r="D6" s="6" t="s">
        <v>48</v>
      </c>
      <c r="E6" s="6" t="s">
        <v>31</v>
      </c>
      <c r="F6" s="6" t="s">
        <v>32</v>
      </c>
      <c r="G6" s="6">
        <v>6.0</v>
      </c>
      <c r="H6" s="6">
        <v>65.49</v>
      </c>
      <c r="I6" s="6">
        <v>88.25</v>
      </c>
      <c r="J6" s="6">
        <v>16.16</v>
      </c>
      <c r="K6" s="6" t="s">
        <v>24</v>
      </c>
      <c r="L6" s="6" t="s">
        <v>25</v>
      </c>
      <c r="M6" s="6">
        <f t="shared" si="1"/>
        <v>392.94</v>
      </c>
      <c r="N6" s="6">
        <f t="shared" si="2"/>
        <v>443.9328</v>
      </c>
      <c r="O6" s="6">
        <f t="shared" si="3"/>
        <v>50.9928</v>
      </c>
      <c r="P6" s="7">
        <f t="shared" si="4"/>
        <v>0.1148660338</v>
      </c>
      <c r="Q6" s="6" t="s">
        <v>49</v>
      </c>
      <c r="R6" s="8">
        <f t="shared" si="5"/>
        <v>85.5672</v>
      </c>
    </row>
    <row r="7" ht="14.25" customHeight="1">
      <c r="A7" s="6" t="s">
        <v>50</v>
      </c>
      <c r="B7" s="6" t="s">
        <v>51</v>
      </c>
      <c r="C7" s="6" t="s">
        <v>52</v>
      </c>
      <c r="D7" s="6" t="s">
        <v>21</v>
      </c>
      <c r="E7" s="6" t="s">
        <v>53</v>
      </c>
      <c r="F7" s="6" t="s">
        <v>54</v>
      </c>
      <c r="G7" s="6">
        <v>5.0</v>
      </c>
      <c r="H7" s="6">
        <v>255.71</v>
      </c>
      <c r="I7" s="6">
        <v>336.93</v>
      </c>
      <c r="J7" s="6">
        <v>5.61</v>
      </c>
      <c r="K7" s="6" t="s">
        <v>24</v>
      </c>
      <c r="L7" s="6" t="s">
        <v>55</v>
      </c>
      <c r="M7" s="6">
        <f t="shared" si="1"/>
        <v>1278.55</v>
      </c>
      <c r="N7" s="6">
        <f t="shared" si="2"/>
        <v>1590.141135</v>
      </c>
      <c r="O7" s="6">
        <f t="shared" si="3"/>
        <v>311.591135</v>
      </c>
      <c r="P7" s="7">
        <f t="shared" si="4"/>
        <v>0.1959518738</v>
      </c>
      <c r="Q7" s="6" t="s">
        <v>34</v>
      </c>
      <c r="R7" s="8">
        <f t="shared" si="5"/>
        <v>94.508865</v>
      </c>
    </row>
    <row r="8" ht="14.25" customHeight="1">
      <c r="A8" s="6" t="s">
        <v>56</v>
      </c>
      <c r="B8" s="6" t="s">
        <v>57</v>
      </c>
      <c r="C8" s="6" t="s">
        <v>58</v>
      </c>
      <c r="D8" s="6" t="s">
        <v>48</v>
      </c>
      <c r="E8" s="6" t="s">
        <v>59</v>
      </c>
      <c r="F8" s="6" t="s">
        <v>60</v>
      </c>
      <c r="G8" s="6">
        <v>5.0</v>
      </c>
      <c r="H8" s="6">
        <v>97.76</v>
      </c>
      <c r="I8" s="6">
        <v>158.84</v>
      </c>
      <c r="J8" s="6">
        <v>9.78</v>
      </c>
      <c r="K8" s="6" t="s">
        <v>24</v>
      </c>
      <c r="L8" s="6" t="s">
        <v>61</v>
      </c>
      <c r="M8" s="6">
        <f t="shared" si="1"/>
        <v>488.8</v>
      </c>
      <c r="N8" s="6">
        <f t="shared" si="2"/>
        <v>716.52724</v>
      </c>
      <c r="O8" s="6">
        <f t="shared" si="3"/>
        <v>227.72724</v>
      </c>
      <c r="P8" s="7">
        <f t="shared" si="4"/>
        <v>0.3178207712</v>
      </c>
      <c r="Q8" s="6" t="s">
        <v>34</v>
      </c>
      <c r="R8" s="8">
        <f t="shared" si="5"/>
        <v>77.67276</v>
      </c>
    </row>
    <row r="9" ht="14.25" customHeight="1">
      <c r="A9" s="6" t="s">
        <v>62</v>
      </c>
      <c r="B9" s="6" t="s">
        <v>63</v>
      </c>
      <c r="C9" s="6" t="s">
        <v>58</v>
      </c>
      <c r="D9" s="6" t="s">
        <v>64</v>
      </c>
      <c r="E9" s="6" t="s">
        <v>65</v>
      </c>
      <c r="F9" s="6" t="s">
        <v>66</v>
      </c>
      <c r="G9" s="6">
        <v>2.0</v>
      </c>
      <c r="H9" s="6">
        <v>361.94</v>
      </c>
      <c r="I9" s="6">
        <v>491.85</v>
      </c>
      <c r="J9" s="6">
        <v>6.57</v>
      </c>
      <c r="K9" s="6" t="s">
        <v>44</v>
      </c>
      <c r="L9" s="6" t="s">
        <v>61</v>
      </c>
      <c r="M9" s="6">
        <f t="shared" si="1"/>
        <v>723.88</v>
      </c>
      <c r="N9" s="6">
        <f t="shared" si="2"/>
        <v>919.07091</v>
      </c>
      <c r="O9" s="6">
        <f t="shared" si="3"/>
        <v>195.19091</v>
      </c>
      <c r="P9" s="7">
        <f t="shared" si="4"/>
        <v>0.2123785095</v>
      </c>
      <c r="Q9" s="6" t="s">
        <v>26</v>
      </c>
      <c r="R9" s="8">
        <f t="shared" si="5"/>
        <v>64.62909</v>
      </c>
    </row>
    <row r="10" ht="14.25" customHeight="1">
      <c r="A10" s="6" t="s">
        <v>67</v>
      </c>
      <c r="B10" s="6" t="s">
        <v>68</v>
      </c>
      <c r="C10" s="6" t="s">
        <v>69</v>
      </c>
      <c r="D10" s="6" t="s">
        <v>70</v>
      </c>
      <c r="E10" s="6" t="s">
        <v>38</v>
      </c>
      <c r="F10" s="6" t="s">
        <v>71</v>
      </c>
      <c r="G10" s="6">
        <v>5.0</v>
      </c>
      <c r="H10" s="6">
        <v>269.99</v>
      </c>
      <c r="I10" s="6">
        <v>391.11</v>
      </c>
      <c r="J10" s="6">
        <v>6.45</v>
      </c>
      <c r="K10" s="6" t="s">
        <v>44</v>
      </c>
      <c r="L10" s="6" t="s">
        <v>25</v>
      </c>
      <c r="M10" s="6">
        <f t="shared" si="1"/>
        <v>1349.95</v>
      </c>
      <c r="N10" s="6">
        <f t="shared" si="2"/>
        <v>1829.417025</v>
      </c>
      <c r="O10" s="6">
        <f t="shared" si="3"/>
        <v>479.467025</v>
      </c>
      <c r="P10" s="7">
        <f t="shared" si="4"/>
        <v>0.2620873308</v>
      </c>
      <c r="Q10" s="6" t="s">
        <v>26</v>
      </c>
      <c r="R10" s="8">
        <f t="shared" si="5"/>
        <v>126.132975</v>
      </c>
    </row>
    <row r="11" ht="14.25" customHeight="1">
      <c r="A11" s="6" t="s">
        <v>72</v>
      </c>
      <c r="B11" s="6" t="s">
        <v>73</v>
      </c>
      <c r="C11" s="6" t="s">
        <v>74</v>
      </c>
      <c r="D11" s="6" t="s">
        <v>48</v>
      </c>
      <c r="E11" s="6" t="s">
        <v>65</v>
      </c>
      <c r="F11" s="6" t="s">
        <v>75</v>
      </c>
      <c r="G11" s="6">
        <v>1.0</v>
      </c>
      <c r="H11" s="6">
        <v>254.6</v>
      </c>
      <c r="I11" s="6">
        <v>318.49</v>
      </c>
      <c r="J11" s="6">
        <v>13.59</v>
      </c>
      <c r="K11" s="6" t="s">
        <v>24</v>
      </c>
      <c r="L11" s="6" t="s">
        <v>33</v>
      </c>
      <c r="M11" s="6">
        <f t="shared" si="1"/>
        <v>254.6</v>
      </c>
      <c r="N11" s="6">
        <f t="shared" si="2"/>
        <v>275.207209</v>
      </c>
      <c r="O11" s="6">
        <f t="shared" si="3"/>
        <v>20.607209</v>
      </c>
      <c r="P11" s="7">
        <f t="shared" si="4"/>
        <v>0.07487888517</v>
      </c>
      <c r="Q11" s="6" t="s">
        <v>76</v>
      </c>
      <c r="R11" s="8">
        <f t="shared" si="5"/>
        <v>43.282791</v>
      </c>
    </row>
    <row r="12" ht="14.25" customHeight="1">
      <c r="A12" s="6" t="s">
        <v>77</v>
      </c>
      <c r="B12" s="6" t="s">
        <v>78</v>
      </c>
      <c r="C12" s="6" t="s">
        <v>79</v>
      </c>
      <c r="D12" s="6" t="s">
        <v>48</v>
      </c>
      <c r="E12" s="6" t="s">
        <v>59</v>
      </c>
      <c r="F12" s="6" t="s">
        <v>60</v>
      </c>
      <c r="G12" s="6">
        <v>6.0</v>
      </c>
      <c r="H12" s="6">
        <v>313.46</v>
      </c>
      <c r="I12" s="6">
        <v>504.96</v>
      </c>
      <c r="J12" s="6">
        <v>19.82</v>
      </c>
      <c r="K12" s="6" t="s">
        <v>44</v>
      </c>
      <c r="L12" s="6" t="s">
        <v>61</v>
      </c>
      <c r="M12" s="6">
        <f t="shared" si="1"/>
        <v>1880.76</v>
      </c>
      <c r="N12" s="6">
        <f t="shared" si="2"/>
        <v>2429.261568</v>
      </c>
      <c r="O12" s="6">
        <f t="shared" si="3"/>
        <v>548.501568</v>
      </c>
      <c r="P12" s="7">
        <f t="shared" si="4"/>
        <v>0.2257894231</v>
      </c>
      <c r="Q12" s="6" t="s">
        <v>76</v>
      </c>
      <c r="R12" s="8">
        <f t="shared" si="5"/>
        <v>600.498432</v>
      </c>
    </row>
    <row r="13" ht="14.25" customHeight="1">
      <c r="A13" s="6" t="s">
        <v>80</v>
      </c>
      <c r="B13" s="6" t="s">
        <v>81</v>
      </c>
      <c r="C13" s="6" t="s">
        <v>82</v>
      </c>
      <c r="D13" s="6" t="s">
        <v>83</v>
      </c>
      <c r="E13" s="6" t="s">
        <v>38</v>
      </c>
      <c r="F13" s="6" t="s">
        <v>71</v>
      </c>
      <c r="G13" s="6">
        <v>3.0</v>
      </c>
      <c r="H13" s="6">
        <v>393.91</v>
      </c>
      <c r="I13" s="6">
        <v>590.48</v>
      </c>
      <c r="J13" s="6">
        <v>23.4</v>
      </c>
      <c r="K13" s="6" t="s">
        <v>24</v>
      </c>
      <c r="L13" s="6" t="s">
        <v>33</v>
      </c>
      <c r="M13" s="6">
        <f t="shared" si="1"/>
        <v>1181.73</v>
      </c>
      <c r="N13" s="6">
        <f t="shared" si="2"/>
        <v>1356.92304</v>
      </c>
      <c r="O13" s="6">
        <f t="shared" si="3"/>
        <v>175.19304</v>
      </c>
      <c r="P13" s="7">
        <f t="shared" si="4"/>
        <v>0.1291105205</v>
      </c>
      <c r="Q13" s="6" t="s">
        <v>34</v>
      </c>
      <c r="R13" s="8">
        <f t="shared" si="5"/>
        <v>414.51696</v>
      </c>
    </row>
    <row r="14" ht="14.25" customHeight="1">
      <c r="A14" s="6" t="s">
        <v>84</v>
      </c>
      <c r="B14" s="6" t="s">
        <v>85</v>
      </c>
      <c r="C14" s="6" t="s">
        <v>86</v>
      </c>
      <c r="D14" s="6" t="s">
        <v>30</v>
      </c>
      <c r="E14" s="6" t="s">
        <v>87</v>
      </c>
      <c r="F14" s="6" t="s">
        <v>88</v>
      </c>
      <c r="G14" s="6">
        <v>5.0</v>
      </c>
      <c r="H14" s="6">
        <v>297.81</v>
      </c>
      <c r="I14" s="6">
        <v>376.1</v>
      </c>
      <c r="J14" s="6">
        <v>1.27</v>
      </c>
      <c r="K14" s="6" t="s">
        <v>24</v>
      </c>
      <c r="L14" s="6" t="s">
        <v>61</v>
      </c>
      <c r="M14" s="6">
        <f t="shared" si="1"/>
        <v>1489.05</v>
      </c>
      <c r="N14" s="6">
        <f t="shared" si="2"/>
        <v>1856.61765</v>
      </c>
      <c r="O14" s="6">
        <f t="shared" si="3"/>
        <v>367.56765</v>
      </c>
      <c r="P14" s="7">
        <f t="shared" si="4"/>
        <v>0.197977031</v>
      </c>
      <c r="Q14" s="6" t="s">
        <v>34</v>
      </c>
      <c r="R14" s="8">
        <f t="shared" si="5"/>
        <v>23.88235</v>
      </c>
    </row>
    <row r="15" ht="14.25" customHeight="1">
      <c r="A15" s="6" t="s">
        <v>89</v>
      </c>
      <c r="B15" s="6" t="s">
        <v>90</v>
      </c>
      <c r="C15" s="6" t="s">
        <v>91</v>
      </c>
      <c r="D15" s="6" t="s">
        <v>30</v>
      </c>
      <c r="E15" s="6" t="s">
        <v>65</v>
      </c>
      <c r="F15" s="6" t="s">
        <v>75</v>
      </c>
      <c r="G15" s="6">
        <v>4.0</v>
      </c>
      <c r="H15" s="6">
        <v>351.25</v>
      </c>
      <c r="I15" s="6">
        <v>490.38</v>
      </c>
      <c r="J15" s="6">
        <v>1.33</v>
      </c>
      <c r="K15" s="6" t="s">
        <v>24</v>
      </c>
      <c r="L15" s="6" t="s">
        <v>55</v>
      </c>
      <c r="M15" s="6">
        <f t="shared" si="1"/>
        <v>1405</v>
      </c>
      <c r="N15" s="6">
        <f t="shared" si="2"/>
        <v>1935.431784</v>
      </c>
      <c r="O15" s="6">
        <f t="shared" si="3"/>
        <v>530.431784</v>
      </c>
      <c r="P15" s="7">
        <f t="shared" si="4"/>
        <v>0.2740637972</v>
      </c>
      <c r="Q15" s="6" t="s">
        <v>40</v>
      </c>
      <c r="R15" s="8">
        <f t="shared" si="5"/>
        <v>26.088216</v>
      </c>
    </row>
    <row r="16" ht="14.25" customHeight="1">
      <c r="A16" s="6" t="s">
        <v>92</v>
      </c>
      <c r="B16" s="6" t="s">
        <v>93</v>
      </c>
      <c r="C16" s="6" t="s">
        <v>94</v>
      </c>
      <c r="D16" s="6" t="s">
        <v>48</v>
      </c>
      <c r="E16" s="6" t="s">
        <v>59</v>
      </c>
      <c r="F16" s="6" t="s">
        <v>60</v>
      </c>
      <c r="G16" s="6">
        <v>3.0</v>
      </c>
      <c r="H16" s="6">
        <v>304.84</v>
      </c>
      <c r="I16" s="6">
        <v>413.62</v>
      </c>
      <c r="J16" s="6">
        <v>1.71</v>
      </c>
      <c r="K16" s="6" t="s">
        <v>44</v>
      </c>
      <c r="L16" s="6" t="s">
        <v>61</v>
      </c>
      <c r="M16" s="6">
        <f t="shared" si="1"/>
        <v>914.52</v>
      </c>
      <c r="N16" s="6">
        <f t="shared" si="2"/>
        <v>1219.641294</v>
      </c>
      <c r="O16" s="6">
        <f t="shared" si="3"/>
        <v>305.121294</v>
      </c>
      <c r="P16" s="7">
        <f t="shared" si="4"/>
        <v>0.2501729775</v>
      </c>
      <c r="Q16" s="6" t="s">
        <v>40</v>
      </c>
      <c r="R16" s="8">
        <f t="shared" si="5"/>
        <v>21.218706</v>
      </c>
    </row>
    <row r="17" ht="14.25" customHeight="1">
      <c r="A17" s="6" t="s">
        <v>95</v>
      </c>
      <c r="B17" s="6" t="s">
        <v>96</v>
      </c>
      <c r="C17" s="6" t="s">
        <v>97</v>
      </c>
      <c r="D17" s="6" t="s">
        <v>30</v>
      </c>
      <c r="E17" s="6" t="s">
        <v>87</v>
      </c>
      <c r="F17" s="6" t="s">
        <v>88</v>
      </c>
      <c r="G17" s="6">
        <v>8.0</v>
      </c>
      <c r="H17" s="6">
        <v>471.6</v>
      </c>
      <c r="I17" s="6">
        <v>598.25</v>
      </c>
      <c r="J17" s="6">
        <v>24.53</v>
      </c>
      <c r="K17" s="6" t="s">
        <v>24</v>
      </c>
      <c r="L17" s="6" t="s">
        <v>61</v>
      </c>
      <c r="M17" s="6">
        <f t="shared" si="1"/>
        <v>3772.8</v>
      </c>
      <c r="N17" s="6">
        <f t="shared" si="2"/>
        <v>3611.9942</v>
      </c>
      <c r="O17" s="6">
        <f t="shared" si="3"/>
        <v>-160.8058</v>
      </c>
      <c r="P17" s="7">
        <f t="shared" si="4"/>
        <v>-0.04451994967</v>
      </c>
      <c r="Q17" s="6" t="s">
        <v>76</v>
      </c>
      <c r="R17" s="8">
        <f t="shared" si="5"/>
        <v>1174.0058</v>
      </c>
    </row>
    <row r="18" ht="14.25" customHeight="1">
      <c r="A18" s="6" t="s">
        <v>98</v>
      </c>
      <c r="B18" s="6" t="s">
        <v>99</v>
      </c>
      <c r="C18" s="6" t="s">
        <v>100</v>
      </c>
      <c r="D18" s="6" t="s">
        <v>30</v>
      </c>
      <c r="E18" s="6" t="s">
        <v>31</v>
      </c>
      <c r="F18" s="6" t="s">
        <v>32</v>
      </c>
      <c r="G18" s="6">
        <v>2.0</v>
      </c>
      <c r="H18" s="6">
        <v>86.3</v>
      </c>
      <c r="I18" s="6">
        <v>149.0</v>
      </c>
      <c r="J18" s="6">
        <v>17.0</v>
      </c>
      <c r="K18" s="6" t="s">
        <v>24</v>
      </c>
      <c r="L18" s="6" t="s">
        <v>25</v>
      </c>
      <c r="M18" s="6">
        <f t="shared" si="1"/>
        <v>172.6</v>
      </c>
      <c r="N18" s="6">
        <f t="shared" si="2"/>
        <v>247.34</v>
      </c>
      <c r="O18" s="6">
        <f t="shared" si="3"/>
        <v>74.74</v>
      </c>
      <c r="P18" s="7">
        <f t="shared" si="4"/>
        <v>0.3021751435</v>
      </c>
      <c r="Q18" s="6" t="s">
        <v>34</v>
      </c>
      <c r="R18" s="8">
        <f t="shared" si="5"/>
        <v>50.66</v>
      </c>
    </row>
    <row r="19" ht="14.25" customHeight="1">
      <c r="A19" s="6" t="s">
        <v>101</v>
      </c>
      <c r="B19" s="6" t="s">
        <v>102</v>
      </c>
      <c r="C19" s="6" t="s">
        <v>103</v>
      </c>
      <c r="D19" s="6" t="s">
        <v>83</v>
      </c>
      <c r="E19" s="6" t="s">
        <v>104</v>
      </c>
      <c r="F19" s="6" t="s">
        <v>105</v>
      </c>
      <c r="G19" s="6">
        <v>1.0</v>
      </c>
      <c r="H19" s="6">
        <v>287.15</v>
      </c>
      <c r="I19" s="6">
        <v>564.85</v>
      </c>
      <c r="J19" s="6">
        <v>13.54</v>
      </c>
      <c r="K19" s="6" t="s">
        <v>44</v>
      </c>
      <c r="L19" s="6" t="s">
        <v>61</v>
      </c>
      <c r="M19" s="6">
        <f t="shared" si="1"/>
        <v>287.15</v>
      </c>
      <c r="N19" s="6">
        <f t="shared" si="2"/>
        <v>488.36931</v>
      </c>
      <c r="O19" s="6">
        <f t="shared" si="3"/>
        <v>201.21931</v>
      </c>
      <c r="P19" s="7">
        <f t="shared" si="4"/>
        <v>0.4120228398</v>
      </c>
      <c r="Q19" s="6" t="s">
        <v>40</v>
      </c>
      <c r="R19" s="8">
        <f t="shared" si="5"/>
        <v>76.48069</v>
      </c>
    </row>
    <row r="20" ht="14.25" customHeight="1">
      <c r="A20" s="6" t="s">
        <v>106</v>
      </c>
      <c r="B20" s="6" t="s">
        <v>107</v>
      </c>
      <c r="C20" s="6" t="s">
        <v>108</v>
      </c>
      <c r="D20" s="6" t="s">
        <v>64</v>
      </c>
      <c r="E20" s="6" t="s">
        <v>31</v>
      </c>
      <c r="F20" s="6" t="s">
        <v>32</v>
      </c>
      <c r="G20" s="6">
        <v>1.0</v>
      </c>
      <c r="H20" s="6">
        <v>192.97</v>
      </c>
      <c r="I20" s="6">
        <v>274.84</v>
      </c>
      <c r="J20" s="6">
        <v>3.21</v>
      </c>
      <c r="K20" s="6" t="s">
        <v>24</v>
      </c>
      <c r="L20" s="6" t="s">
        <v>55</v>
      </c>
      <c r="M20" s="6">
        <f t="shared" si="1"/>
        <v>192.97</v>
      </c>
      <c r="N20" s="6">
        <f t="shared" si="2"/>
        <v>266.017636</v>
      </c>
      <c r="O20" s="6">
        <f t="shared" si="3"/>
        <v>73.047636</v>
      </c>
      <c r="P20" s="7">
        <f t="shared" si="4"/>
        <v>0.2745969669</v>
      </c>
      <c r="Q20" s="6" t="s">
        <v>76</v>
      </c>
      <c r="R20" s="8">
        <f t="shared" si="5"/>
        <v>8.822364</v>
      </c>
    </row>
    <row r="21" ht="14.25" customHeight="1">
      <c r="A21" s="6" t="s">
        <v>109</v>
      </c>
      <c r="B21" s="6" t="s">
        <v>110</v>
      </c>
      <c r="C21" s="6" t="s">
        <v>111</v>
      </c>
      <c r="D21" s="6" t="s">
        <v>48</v>
      </c>
      <c r="E21" s="6" t="s">
        <v>104</v>
      </c>
      <c r="F21" s="6" t="s">
        <v>105</v>
      </c>
      <c r="G21" s="6">
        <v>5.0</v>
      </c>
      <c r="H21" s="6">
        <v>301.29</v>
      </c>
      <c r="I21" s="6">
        <v>538.25</v>
      </c>
      <c r="J21" s="6">
        <v>19.01</v>
      </c>
      <c r="K21" s="6" t="s">
        <v>24</v>
      </c>
      <c r="L21" s="6" t="s">
        <v>61</v>
      </c>
      <c r="M21" s="6">
        <f t="shared" si="1"/>
        <v>1506.45</v>
      </c>
      <c r="N21" s="6">
        <f t="shared" si="2"/>
        <v>2179.643375</v>
      </c>
      <c r="O21" s="6">
        <f t="shared" si="3"/>
        <v>673.193375</v>
      </c>
      <c r="P21" s="7">
        <f t="shared" si="4"/>
        <v>0.3088548258</v>
      </c>
      <c r="Q21" s="6" t="s">
        <v>26</v>
      </c>
      <c r="R21" s="8">
        <f t="shared" si="5"/>
        <v>511.606625</v>
      </c>
    </row>
    <row r="22" ht="14.25" customHeight="1">
      <c r="A22" s="6" t="s">
        <v>112</v>
      </c>
      <c r="B22" s="6" t="s">
        <v>113</v>
      </c>
      <c r="C22" s="6" t="s">
        <v>114</v>
      </c>
      <c r="D22" s="6" t="s">
        <v>30</v>
      </c>
      <c r="E22" s="6" t="s">
        <v>59</v>
      </c>
      <c r="F22" s="6" t="s">
        <v>60</v>
      </c>
      <c r="G22" s="6">
        <v>4.0</v>
      </c>
      <c r="H22" s="6">
        <v>227.4</v>
      </c>
      <c r="I22" s="6">
        <v>288.16</v>
      </c>
      <c r="J22" s="6">
        <v>0.17</v>
      </c>
      <c r="K22" s="6" t="s">
        <v>24</v>
      </c>
      <c r="L22" s="6" t="s">
        <v>25</v>
      </c>
      <c r="M22" s="6">
        <f t="shared" si="1"/>
        <v>909.6</v>
      </c>
      <c r="N22" s="6">
        <f t="shared" si="2"/>
        <v>1150.680512</v>
      </c>
      <c r="O22" s="6">
        <f t="shared" si="3"/>
        <v>241.080512</v>
      </c>
      <c r="P22" s="7">
        <f t="shared" si="4"/>
        <v>0.2095112496</v>
      </c>
      <c r="Q22" s="6" t="s">
        <v>26</v>
      </c>
      <c r="R22" s="8">
        <f t="shared" si="5"/>
        <v>1.959488</v>
      </c>
    </row>
    <row r="23" ht="14.25" customHeight="1">
      <c r="A23" s="6" t="s">
        <v>115</v>
      </c>
      <c r="B23" s="6" t="s">
        <v>116</v>
      </c>
      <c r="C23" s="6" t="s">
        <v>114</v>
      </c>
      <c r="D23" s="6" t="s">
        <v>48</v>
      </c>
      <c r="E23" s="6" t="s">
        <v>104</v>
      </c>
      <c r="F23" s="6" t="s">
        <v>105</v>
      </c>
      <c r="G23" s="6">
        <v>7.0</v>
      </c>
      <c r="H23" s="6">
        <v>196.35</v>
      </c>
      <c r="I23" s="6">
        <v>264.44</v>
      </c>
      <c r="J23" s="6">
        <v>9.73</v>
      </c>
      <c r="K23" s="6" t="s">
        <v>44</v>
      </c>
      <c r="L23" s="6" t="s">
        <v>25</v>
      </c>
      <c r="M23" s="6">
        <f t="shared" si="1"/>
        <v>1374.45</v>
      </c>
      <c r="N23" s="6">
        <f t="shared" si="2"/>
        <v>1670.969916</v>
      </c>
      <c r="O23" s="6">
        <f t="shared" si="3"/>
        <v>296.519916</v>
      </c>
      <c r="P23" s="7">
        <f t="shared" si="4"/>
        <v>0.1774537729</v>
      </c>
      <c r="Q23" s="6" t="s">
        <v>26</v>
      </c>
      <c r="R23" s="8">
        <f t="shared" si="5"/>
        <v>180.110084</v>
      </c>
    </row>
    <row r="24" ht="14.25" customHeight="1">
      <c r="A24" s="6" t="s">
        <v>117</v>
      </c>
      <c r="B24" s="6" t="s">
        <v>118</v>
      </c>
      <c r="C24" s="6" t="s">
        <v>119</v>
      </c>
      <c r="D24" s="6" t="s">
        <v>70</v>
      </c>
      <c r="E24" s="6" t="s">
        <v>104</v>
      </c>
      <c r="F24" s="6" t="s">
        <v>105</v>
      </c>
      <c r="G24" s="6">
        <v>8.0</v>
      </c>
      <c r="H24" s="6">
        <v>181.08</v>
      </c>
      <c r="I24" s="6">
        <v>340.58</v>
      </c>
      <c r="J24" s="6">
        <v>9.1</v>
      </c>
      <c r="K24" s="6" t="s">
        <v>44</v>
      </c>
      <c r="L24" s="6" t="s">
        <v>33</v>
      </c>
      <c r="M24" s="6">
        <f t="shared" si="1"/>
        <v>1448.64</v>
      </c>
      <c r="N24" s="6">
        <f t="shared" si="2"/>
        <v>2476.69776</v>
      </c>
      <c r="O24" s="6">
        <f t="shared" si="3"/>
        <v>1028.05776</v>
      </c>
      <c r="P24" s="7">
        <f t="shared" si="4"/>
        <v>0.4150921346</v>
      </c>
      <c r="Q24" s="6" t="s">
        <v>26</v>
      </c>
      <c r="R24" s="8">
        <f t="shared" si="5"/>
        <v>247.94224</v>
      </c>
    </row>
    <row r="25" ht="14.25" customHeight="1">
      <c r="A25" s="6" t="s">
        <v>120</v>
      </c>
      <c r="B25" s="6" t="s">
        <v>121</v>
      </c>
      <c r="C25" s="6" t="s">
        <v>119</v>
      </c>
      <c r="D25" s="6" t="s">
        <v>64</v>
      </c>
      <c r="E25" s="6" t="s">
        <v>59</v>
      </c>
      <c r="F25" s="6" t="s">
        <v>60</v>
      </c>
      <c r="G25" s="6">
        <v>2.0</v>
      </c>
      <c r="H25" s="6">
        <v>258.2</v>
      </c>
      <c r="I25" s="6">
        <v>401.0</v>
      </c>
      <c r="J25" s="6">
        <v>21.61</v>
      </c>
      <c r="K25" s="6" t="s">
        <v>24</v>
      </c>
      <c r="L25" s="6" t="s">
        <v>61</v>
      </c>
      <c r="M25" s="6">
        <f t="shared" si="1"/>
        <v>516.4</v>
      </c>
      <c r="N25" s="6">
        <f t="shared" si="2"/>
        <v>628.6878</v>
      </c>
      <c r="O25" s="6">
        <f t="shared" si="3"/>
        <v>112.2878</v>
      </c>
      <c r="P25" s="7">
        <f t="shared" si="4"/>
        <v>0.1786066152</v>
      </c>
      <c r="Q25" s="6" t="s">
        <v>34</v>
      </c>
      <c r="R25" s="8">
        <f t="shared" si="5"/>
        <v>173.3122</v>
      </c>
    </row>
    <row r="26" ht="14.25" customHeight="1">
      <c r="A26" s="6" t="s">
        <v>122</v>
      </c>
      <c r="B26" s="6" t="s">
        <v>123</v>
      </c>
      <c r="C26" s="6" t="s">
        <v>124</v>
      </c>
      <c r="D26" s="6" t="s">
        <v>70</v>
      </c>
      <c r="E26" s="6" t="s">
        <v>65</v>
      </c>
      <c r="F26" s="6" t="s">
        <v>66</v>
      </c>
      <c r="G26" s="6">
        <v>6.0</v>
      </c>
      <c r="H26" s="6">
        <v>94.82</v>
      </c>
      <c r="I26" s="6">
        <v>155.42</v>
      </c>
      <c r="J26" s="6">
        <v>0.24</v>
      </c>
      <c r="K26" s="6" t="s">
        <v>24</v>
      </c>
      <c r="L26" s="6" t="s">
        <v>33</v>
      </c>
      <c r="M26" s="6">
        <f t="shared" si="1"/>
        <v>568.92</v>
      </c>
      <c r="N26" s="6">
        <f t="shared" si="2"/>
        <v>930.281952</v>
      </c>
      <c r="O26" s="6">
        <f t="shared" si="3"/>
        <v>361.361952</v>
      </c>
      <c r="P26" s="7">
        <f t="shared" si="4"/>
        <v>0.3884434727</v>
      </c>
      <c r="Q26" s="6" t="s">
        <v>34</v>
      </c>
      <c r="R26" s="8">
        <f t="shared" si="5"/>
        <v>2.238048</v>
      </c>
    </row>
    <row r="27" ht="14.25" customHeight="1">
      <c r="A27" s="6" t="s">
        <v>125</v>
      </c>
      <c r="B27" s="6" t="s">
        <v>126</v>
      </c>
      <c r="C27" s="6" t="s">
        <v>127</v>
      </c>
      <c r="D27" s="6" t="s">
        <v>70</v>
      </c>
      <c r="E27" s="6" t="s">
        <v>59</v>
      </c>
      <c r="F27" s="6" t="s">
        <v>60</v>
      </c>
      <c r="G27" s="6">
        <v>1.0</v>
      </c>
      <c r="H27" s="6">
        <v>176.52</v>
      </c>
      <c r="I27" s="6">
        <v>253.57</v>
      </c>
      <c r="J27" s="6">
        <v>15.94</v>
      </c>
      <c r="K27" s="6" t="s">
        <v>44</v>
      </c>
      <c r="L27" s="6" t="s">
        <v>55</v>
      </c>
      <c r="M27" s="6">
        <f t="shared" si="1"/>
        <v>176.52</v>
      </c>
      <c r="N27" s="6">
        <f t="shared" si="2"/>
        <v>213.150942</v>
      </c>
      <c r="O27" s="6">
        <f t="shared" si="3"/>
        <v>36.630942</v>
      </c>
      <c r="P27" s="7">
        <f t="shared" si="4"/>
        <v>0.1718544692</v>
      </c>
      <c r="Q27" s="6" t="s">
        <v>40</v>
      </c>
      <c r="R27" s="8">
        <f t="shared" si="5"/>
        <v>40.419058</v>
      </c>
    </row>
    <row r="28" ht="14.25" customHeight="1">
      <c r="A28" s="6" t="s">
        <v>128</v>
      </c>
      <c r="B28" s="6" t="s">
        <v>121</v>
      </c>
      <c r="C28" s="6" t="s">
        <v>129</v>
      </c>
      <c r="D28" s="6" t="s">
        <v>70</v>
      </c>
      <c r="E28" s="6" t="s">
        <v>53</v>
      </c>
      <c r="F28" s="6" t="s">
        <v>54</v>
      </c>
      <c r="G28" s="6">
        <v>8.0</v>
      </c>
      <c r="H28" s="6">
        <v>298.27</v>
      </c>
      <c r="I28" s="6">
        <v>355.14</v>
      </c>
      <c r="J28" s="6">
        <v>21.52</v>
      </c>
      <c r="K28" s="6" t="s">
        <v>44</v>
      </c>
      <c r="L28" s="6" t="s">
        <v>55</v>
      </c>
      <c r="M28" s="6">
        <f t="shared" si="1"/>
        <v>2386.16</v>
      </c>
      <c r="N28" s="6">
        <f t="shared" si="2"/>
        <v>2229.710976</v>
      </c>
      <c r="O28" s="6">
        <f t="shared" si="3"/>
        <v>-156.449024</v>
      </c>
      <c r="P28" s="7">
        <f t="shared" si="4"/>
        <v>-0.07016560697</v>
      </c>
      <c r="Q28" s="6" t="s">
        <v>40</v>
      </c>
      <c r="R28" s="8">
        <f t="shared" si="5"/>
        <v>611.409024</v>
      </c>
    </row>
    <row r="29" ht="14.25" customHeight="1">
      <c r="A29" s="6" t="s">
        <v>130</v>
      </c>
      <c r="B29" s="6" t="s">
        <v>102</v>
      </c>
      <c r="C29" s="6" t="s">
        <v>131</v>
      </c>
      <c r="D29" s="6" t="s">
        <v>48</v>
      </c>
      <c r="E29" s="6" t="s">
        <v>31</v>
      </c>
      <c r="F29" s="6" t="s">
        <v>32</v>
      </c>
      <c r="G29" s="6">
        <v>7.0</v>
      </c>
      <c r="H29" s="6">
        <v>90.42</v>
      </c>
      <c r="I29" s="6">
        <v>132.12</v>
      </c>
      <c r="J29" s="6">
        <v>18.17</v>
      </c>
      <c r="K29" s="6" t="s">
        <v>44</v>
      </c>
      <c r="L29" s="6" t="s">
        <v>61</v>
      </c>
      <c r="M29" s="6">
        <f t="shared" si="1"/>
        <v>632.94</v>
      </c>
      <c r="N29" s="6">
        <f t="shared" si="2"/>
        <v>756.796572</v>
      </c>
      <c r="O29" s="6">
        <f t="shared" si="3"/>
        <v>123.856572</v>
      </c>
      <c r="P29" s="7">
        <f t="shared" si="4"/>
        <v>0.1636590024</v>
      </c>
      <c r="Q29" s="6" t="s">
        <v>34</v>
      </c>
      <c r="R29" s="8">
        <f t="shared" si="5"/>
        <v>168.043428</v>
      </c>
    </row>
    <row r="30" ht="14.25" customHeight="1">
      <c r="A30" s="6" t="s">
        <v>132</v>
      </c>
      <c r="B30" s="6" t="s">
        <v>133</v>
      </c>
      <c r="C30" s="6" t="s">
        <v>134</v>
      </c>
      <c r="D30" s="6" t="s">
        <v>70</v>
      </c>
      <c r="E30" s="6" t="s">
        <v>38</v>
      </c>
      <c r="F30" s="6" t="s">
        <v>71</v>
      </c>
      <c r="G30" s="6">
        <v>3.0</v>
      </c>
      <c r="H30" s="6">
        <v>144.59</v>
      </c>
      <c r="I30" s="6">
        <v>177.42</v>
      </c>
      <c r="J30" s="6">
        <v>3.55</v>
      </c>
      <c r="K30" s="6" t="s">
        <v>24</v>
      </c>
      <c r="L30" s="6" t="s">
        <v>61</v>
      </c>
      <c r="M30" s="6">
        <f t="shared" si="1"/>
        <v>433.77</v>
      </c>
      <c r="N30" s="6">
        <f t="shared" si="2"/>
        <v>513.36477</v>
      </c>
      <c r="O30" s="6">
        <f t="shared" si="3"/>
        <v>79.59477</v>
      </c>
      <c r="P30" s="7">
        <f t="shared" si="4"/>
        <v>0.1550452517</v>
      </c>
      <c r="Q30" s="6" t="s">
        <v>40</v>
      </c>
      <c r="R30" s="8">
        <f t="shared" si="5"/>
        <v>18.89523</v>
      </c>
    </row>
    <row r="31" ht="14.25" customHeight="1">
      <c r="A31" s="6" t="s">
        <v>135</v>
      </c>
      <c r="B31" s="6" t="s">
        <v>136</v>
      </c>
      <c r="C31" s="6" t="s">
        <v>137</v>
      </c>
      <c r="D31" s="6" t="s">
        <v>70</v>
      </c>
      <c r="E31" s="6" t="s">
        <v>65</v>
      </c>
      <c r="F31" s="6" t="s">
        <v>75</v>
      </c>
      <c r="G31" s="6">
        <v>8.0</v>
      </c>
      <c r="H31" s="6">
        <v>163.19</v>
      </c>
      <c r="I31" s="6">
        <v>269.06</v>
      </c>
      <c r="J31" s="6">
        <v>2.42</v>
      </c>
      <c r="K31" s="6" t="s">
        <v>44</v>
      </c>
      <c r="L31" s="6" t="s">
        <v>55</v>
      </c>
      <c r="M31" s="6">
        <f t="shared" si="1"/>
        <v>1305.52</v>
      </c>
      <c r="N31" s="6">
        <f t="shared" si="2"/>
        <v>2100.389984</v>
      </c>
      <c r="O31" s="6">
        <f t="shared" si="3"/>
        <v>794.869984</v>
      </c>
      <c r="P31" s="7">
        <f t="shared" si="4"/>
        <v>0.3784392375</v>
      </c>
      <c r="Q31" s="6" t="s">
        <v>40</v>
      </c>
      <c r="R31" s="8">
        <f t="shared" si="5"/>
        <v>52.090016</v>
      </c>
    </row>
    <row r="32" ht="14.25" customHeight="1">
      <c r="A32" s="6" t="s">
        <v>138</v>
      </c>
      <c r="B32" s="6" t="s">
        <v>139</v>
      </c>
      <c r="C32" s="6" t="s">
        <v>140</v>
      </c>
      <c r="D32" s="6" t="s">
        <v>48</v>
      </c>
      <c r="E32" s="6" t="s">
        <v>53</v>
      </c>
      <c r="F32" s="6" t="s">
        <v>54</v>
      </c>
      <c r="G32" s="6">
        <v>4.0</v>
      </c>
      <c r="H32" s="6">
        <v>179.47</v>
      </c>
      <c r="I32" s="6">
        <v>342.55</v>
      </c>
      <c r="J32" s="6">
        <v>20.49</v>
      </c>
      <c r="K32" s="6" t="s">
        <v>44</v>
      </c>
      <c r="L32" s="6" t="s">
        <v>33</v>
      </c>
      <c r="M32" s="6">
        <f t="shared" si="1"/>
        <v>717.88</v>
      </c>
      <c r="N32" s="6">
        <f t="shared" si="2"/>
        <v>1089.44602</v>
      </c>
      <c r="O32" s="6">
        <f t="shared" si="3"/>
        <v>371.56602</v>
      </c>
      <c r="P32" s="7">
        <f t="shared" si="4"/>
        <v>0.3410595965</v>
      </c>
      <c r="Q32" s="6" t="s">
        <v>40</v>
      </c>
      <c r="R32" s="8">
        <f t="shared" si="5"/>
        <v>280.75398</v>
      </c>
    </row>
    <row r="33" ht="14.25" customHeight="1">
      <c r="A33" s="6" t="s">
        <v>141</v>
      </c>
      <c r="B33" s="6" t="s">
        <v>142</v>
      </c>
      <c r="C33" s="6" t="s">
        <v>143</v>
      </c>
      <c r="D33" s="6" t="s">
        <v>70</v>
      </c>
      <c r="E33" s="6" t="s">
        <v>65</v>
      </c>
      <c r="F33" s="6" t="s">
        <v>66</v>
      </c>
      <c r="G33" s="6">
        <v>3.0</v>
      </c>
      <c r="H33" s="6">
        <v>334.5</v>
      </c>
      <c r="I33" s="6">
        <v>460.18</v>
      </c>
      <c r="J33" s="6">
        <v>17.96</v>
      </c>
      <c r="K33" s="6" t="s">
        <v>24</v>
      </c>
      <c r="L33" s="6" t="s">
        <v>55</v>
      </c>
      <c r="M33" s="6">
        <f t="shared" si="1"/>
        <v>1003.5</v>
      </c>
      <c r="N33" s="6">
        <f t="shared" si="2"/>
        <v>1132.595016</v>
      </c>
      <c r="O33" s="6">
        <f t="shared" si="3"/>
        <v>129.095016</v>
      </c>
      <c r="P33" s="7">
        <f t="shared" si="4"/>
        <v>0.1139816211</v>
      </c>
      <c r="Q33" s="6" t="s">
        <v>26</v>
      </c>
      <c r="R33" s="8">
        <f t="shared" si="5"/>
        <v>247.944984</v>
      </c>
    </row>
    <row r="34" ht="14.25" customHeight="1">
      <c r="A34" s="6" t="s">
        <v>144</v>
      </c>
      <c r="B34" s="6" t="s">
        <v>145</v>
      </c>
      <c r="C34" s="6" t="s">
        <v>143</v>
      </c>
      <c r="D34" s="6" t="s">
        <v>83</v>
      </c>
      <c r="E34" s="6" t="s">
        <v>59</v>
      </c>
      <c r="F34" s="6" t="s">
        <v>60</v>
      </c>
      <c r="G34" s="6">
        <v>1.0</v>
      </c>
      <c r="H34" s="6">
        <v>56.76</v>
      </c>
      <c r="I34" s="6">
        <v>99.62</v>
      </c>
      <c r="J34" s="6">
        <v>9.33</v>
      </c>
      <c r="K34" s="6" t="s">
        <v>44</v>
      </c>
      <c r="L34" s="6" t="s">
        <v>25</v>
      </c>
      <c r="M34" s="6">
        <f t="shared" si="1"/>
        <v>56.76</v>
      </c>
      <c r="N34" s="6">
        <f t="shared" si="2"/>
        <v>90.325454</v>
      </c>
      <c r="O34" s="6">
        <f t="shared" si="3"/>
        <v>33.565454</v>
      </c>
      <c r="P34" s="7">
        <f t="shared" si="4"/>
        <v>0.3716057049</v>
      </c>
      <c r="Q34" s="6" t="s">
        <v>49</v>
      </c>
      <c r="R34" s="8">
        <f t="shared" si="5"/>
        <v>9.294546</v>
      </c>
    </row>
    <row r="35" ht="14.25" customHeight="1">
      <c r="A35" s="6" t="s">
        <v>146</v>
      </c>
      <c r="B35" s="6" t="s">
        <v>147</v>
      </c>
      <c r="C35" s="6" t="s">
        <v>148</v>
      </c>
      <c r="D35" s="6" t="s">
        <v>21</v>
      </c>
      <c r="E35" s="6" t="s">
        <v>87</v>
      </c>
      <c r="F35" s="6" t="s">
        <v>88</v>
      </c>
      <c r="G35" s="6">
        <v>2.0</v>
      </c>
      <c r="H35" s="6">
        <v>70.73</v>
      </c>
      <c r="I35" s="6">
        <v>96.75</v>
      </c>
      <c r="J35" s="6">
        <v>15.37</v>
      </c>
      <c r="K35" s="6" t="s">
        <v>44</v>
      </c>
      <c r="L35" s="6" t="s">
        <v>25</v>
      </c>
      <c r="M35" s="6">
        <f t="shared" si="1"/>
        <v>141.46</v>
      </c>
      <c r="N35" s="6">
        <f t="shared" si="2"/>
        <v>163.75905</v>
      </c>
      <c r="O35" s="6">
        <f t="shared" si="3"/>
        <v>22.29905</v>
      </c>
      <c r="P35" s="7">
        <f t="shared" si="4"/>
        <v>0.1361698789</v>
      </c>
      <c r="Q35" s="6" t="s">
        <v>49</v>
      </c>
      <c r="R35" s="8">
        <f t="shared" si="5"/>
        <v>29.74095</v>
      </c>
    </row>
    <row r="36" ht="14.25" customHeight="1">
      <c r="A36" s="6" t="s">
        <v>149</v>
      </c>
      <c r="B36" s="6" t="s">
        <v>150</v>
      </c>
      <c r="C36" s="6" t="s">
        <v>151</v>
      </c>
      <c r="D36" s="6" t="s">
        <v>30</v>
      </c>
      <c r="E36" s="6" t="s">
        <v>31</v>
      </c>
      <c r="F36" s="6" t="s">
        <v>32</v>
      </c>
      <c r="G36" s="6">
        <v>5.0</v>
      </c>
      <c r="H36" s="6">
        <v>186.7</v>
      </c>
      <c r="I36" s="6">
        <v>264.84</v>
      </c>
      <c r="J36" s="6">
        <v>19.22</v>
      </c>
      <c r="K36" s="6" t="s">
        <v>24</v>
      </c>
      <c r="L36" s="6" t="s">
        <v>33</v>
      </c>
      <c r="M36" s="6">
        <f t="shared" si="1"/>
        <v>933.5</v>
      </c>
      <c r="N36" s="6">
        <f t="shared" si="2"/>
        <v>1069.68876</v>
      </c>
      <c r="O36" s="6">
        <f t="shared" si="3"/>
        <v>136.18876</v>
      </c>
      <c r="P36" s="7">
        <f t="shared" si="4"/>
        <v>0.1273162485</v>
      </c>
      <c r="Q36" s="6" t="s">
        <v>76</v>
      </c>
      <c r="R36" s="8">
        <f t="shared" si="5"/>
        <v>254.51124</v>
      </c>
    </row>
    <row r="37" ht="14.25" customHeight="1">
      <c r="A37" s="6" t="s">
        <v>152</v>
      </c>
      <c r="B37" s="6" t="s">
        <v>153</v>
      </c>
      <c r="C37" s="6" t="s">
        <v>154</v>
      </c>
      <c r="D37" s="6" t="s">
        <v>83</v>
      </c>
      <c r="E37" s="6" t="s">
        <v>59</v>
      </c>
      <c r="F37" s="6" t="s">
        <v>60</v>
      </c>
      <c r="G37" s="6">
        <v>4.0</v>
      </c>
      <c r="H37" s="6">
        <v>259.49</v>
      </c>
      <c r="I37" s="6">
        <v>445.61</v>
      </c>
      <c r="J37" s="6">
        <v>0.07</v>
      </c>
      <c r="K37" s="6" t="s">
        <v>24</v>
      </c>
      <c r="L37" s="6" t="s">
        <v>33</v>
      </c>
      <c r="M37" s="6">
        <f t="shared" si="1"/>
        <v>1037.96</v>
      </c>
      <c r="N37" s="6">
        <f t="shared" si="2"/>
        <v>1781.192292</v>
      </c>
      <c r="O37" s="6">
        <f t="shared" si="3"/>
        <v>743.232292</v>
      </c>
      <c r="P37" s="7">
        <f t="shared" si="4"/>
        <v>0.4172667349</v>
      </c>
      <c r="Q37" s="6" t="s">
        <v>49</v>
      </c>
      <c r="R37" s="8">
        <f t="shared" si="5"/>
        <v>1.247708</v>
      </c>
    </row>
    <row r="38" ht="14.25" customHeight="1">
      <c r="A38" s="6" t="s">
        <v>155</v>
      </c>
      <c r="B38" s="6" t="s">
        <v>156</v>
      </c>
      <c r="C38" s="6" t="s">
        <v>157</v>
      </c>
      <c r="D38" s="6" t="s">
        <v>64</v>
      </c>
      <c r="E38" s="6" t="s">
        <v>87</v>
      </c>
      <c r="F38" s="6" t="s">
        <v>88</v>
      </c>
      <c r="G38" s="6">
        <v>5.0</v>
      </c>
      <c r="H38" s="6">
        <v>262.37</v>
      </c>
      <c r="I38" s="6">
        <v>365.38</v>
      </c>
      <c r="J38" s="6">
        <v>24.81</v>
      </c>
      <c r="K38" s="6" t="s">
        <v>44</v>
      </c>
      <c r="L38" s="6" t="s">
        <v>55</v>
      </c>
      <c r="M38" s="6">
        <f t="shared" si="1"/>
        <v>1311.85</v>
      </c>
      <c r="N38" s="6">
        <f t="shared" si="2"/>
        <v>1373.64611</v>
      </c>
      <c r="O38" s="6">
        <f t="shared" si="3"/>
        <v>61.79611</v>
      </c>
      <c r="P38" s="7">
        <f t="shared" si="4"/>
        <v>0.0449869217</v>
      </c>
      <c r="Q38" s="6" t="s">
        <v>76</v>
      </c>
      <c r="R38" s="8">
        <f t="shared" si="5"/>
        <v>453.25389</v>
      </c>
    </row>
    <row r="39" ht="14.25" customHeight="1">
      <c r="A39" s="6" t="s">
        <v>158</v>
      </c>
      <c r="B39" s="6" t="s">
        <v>159</v>
      </c>
      <c r="C39" s="6" t="s">
        <v>160</v>
      </c>
      <c r="D39" s="6" t="s">
        <v>48</v>
      </c>
      <c r="E39" s="6" t="s">
        <v>87</v>
      </c>
      <c r="F39" s="6" t="s">
        <v>88</v>
      </c>
      <c r="G39" s="6">
        <v>5.0</v>
      </c>
      <c r="H39" s="6">
        <v>331.92</v>
      </c>
      <c r="I39" s="6">
        <v>461.44</v>
      </c>
      <c r="J39" s="6">
        <v>18.19</v>
      </c>
      <c r="K39" s="6" t="s">
        <v>44</v>
      </c>
      <c r="L39" s="6" t="s">
        <v>61</v>
      </c>
      <c r="M39" s="6">
        <f t="shared" si="1"/>
        <v>1659.6</v>
      </c>
      <c r="N39" s="6">
        <f t="shared" si="2"/>
        <v>1887.52032</v>
      </c>
      <c r="O39" s="6">
        <f t="shared" si="3"/>
        <v>227.92032</v>
      </c>
      <c r="P39" s="7">
        <f t="shared" si="4"/>
        <v>0.1207511875</v>
      </c>
      <c r="Q39" s="6" t="s">
        <v>26</v>
      </c>
      <c r="R39" s="8">
        <f t="shared" si="5"/>
        <v>419.67968</v>
      </c>
    </row>
    <row r="40" ht="14.25" customHeight="1">
      <c r="A40" s="6" t="s">
        <v>161</v>
      </c>
      <c r="B40" s="6" t="s">
        <v>42</v>
      </c>
      <c r="C40" s="6" t="s">
        <v>162</v>
      </c>
      <c r="D40" s="6" t="s">
        <v>64</v>
      </c>
      <c r="E40" s="6" t="s">
        <v>38</v>
      </c>
      <c r="F40" s="6" t="s">
        <v>39</v>
      </c>
      <c r="G40" s="6">
        <v>2.0</v>
      </c>
      <c r="H40" s="6">
        <v>88.0</v>
      </c>
      <c r="I40" s="6">
        <v>116.61</v>
      </c>
      <c r="J40" s="6">
        <v>19.43</v>
      </c>
      <c r="K40" s="6" t="s">
        <v>44</v>
      </c>
      <c r="L40" s="6" t="s">
        <v>25</v>
      </c>
      <c r="M40" s="6">
        <f t="shared" si="1"/>
        <v>176</v>
      </c>
      <c r="N40" s="6">
        <f t="shared" si="2"/>
        <v>187.905354</v>
      </c>
      <c r="O40" s="6">
        <f t="shared" si="3"/>
        <v>11.905354</v>
      </c>
      <c r="P40" s="7">
        <f t="shared" si="4"/>
        <v>0.0633582479</v>
      </c>
      <c r="Q40" s="6" t="s">
        <v>49</v>
      </c>
      <c r="R40" s="8">
        <f t="shared" si="5"/>
        <v>45.314646</v>
      </c>
    </row>
    <row r="41" ht="14.25" customHeight="1">
      <c r="A41" s="6" t="s">
        <v>163</v>
      </c>
      <c r="B41" s="6" t="s">
        <v>164</v>
      </c>
      <c r="C41" s="6" t="s">
        <v>165</v>
      </c>
      <c r="D41" s="6" t="s">
        <v>64</v>
      </c>
      <c r="E41" s="6" t="s">
        <v>104</v>
      </c>
      <c r="F41" s="6" t="s">
        <v>105</v>
      </c>
      <c r="G41" s="6">
        <v>2.0</v>
      </c>
      <c r="H41" s="6">
        <v>230.81</v>
      </c>
      <c r="I41" s="6">
        <v>300.9</v>
      </c>
      <c r="J41" s="6">
        <v>2.79</v>
      </c>
      <c r="K41" s="6" t="s">
        <v>24</v>
      </c>
      <c r="L41" s="6" t="s">
        <v>25</v>
      </c>
      <c r="M41" s="6">
        <f t="shared" si="1"/>
        <v>461.62</v>
      </c>
      <c r="N41" s="6">
        <f t="shared" si="2"/>
        <v>585.00978</v>
      </c>
      <c r="O41" s="6">
        <f t="shared" si="3"/>
        <v>123.38978</v>
      </c>
      <c r="P41" s="7">
        <f t="shared" si="4"/>
        <v>0.2109191747</v>
      </c>
      <c r="Q41" s="6" t="s">
        <v>76</v>
      </c>
      <c r="R41" s="8">
        <f t="shared" si="5"/>
        <v>16.79022</v>
      </c>
    </row>
    <row r="42" ht="14.25" customHeight="1">
      <c r="A42" s="6" t="s">
        <v>166</v>
      </c>
      <c r="B42" s="6" t="s">
        <v>167</v>
      </c>
      <c r="C42" s="6" t="s">
        <v>168</v>
      </c>
      <c r="D42" s="6" t="s">
        <v>64</v>
      </c>
      <c r="E42" s="6" t="s">
        <v>53</v>
      </c>
      <c r="F42" s="6" t="s">
        <v>54</v>
      </c>
      <c r="G42" s="6">
        <v>4.0</v>
      </c>
      <c r="H42" s="6">
        <v>287.69</v>
      </c>
      <c r="I42" s="6">
        <v>560.9</v>
      </c>
      <c r="J42" s="6">
        <v>3.54</v>
      </c>
      <c r="K42" s="6" t="s">
        <v>44</v>
      </c>
      <c r="L42" s="6" t="s">
        <v>33</v>
      </c>
      <c r="M42" s="6">
        <f t="shared" si="1"/>
        <v>1150.76</v>
      </c>
      <c r="N42" s="6">
        <f t="shared" si="2"/>
        <v>2164.17656</v>
      </c>
      <c r="O42" s="6">
        <f t="shared" si="3"/>
        <v>1013.41656</v>
      </c>
      <c r="P42" s="7">
        <f t="shared" si="4"/>
        <v>0.4682688921</v>
      </c>
      <c r="Q42" s="6" t="s">
        <v>76</v>
      </c>
      <c r="R42" s="8">
        <f t="shared" si="5"/>
        <v>79.42344</v>
      </c>
    </row>
    <row r="43" ht="14.25" customHeight="1">
      <c r="A43" s="6" t="s">
        <v>169</v>
      </c>
      <c r="B43" s="6" t="s">
        <v>170</v>
      </c>
      <c r="C43" s="6" t="s">
        <v>171</v>
      </c>
      <c r="D43" s="6" t="s">
        <v>64</v>
      </c>
      <c r="E43" s="6" t="s">
        <v>59</v>
      </c>
      <c r="F43" s="6" t="s">
        <v>60</v>
      </c>
      <c r="G43" s="6">
        <v>7.0</v>
      </c>
      <c r="H43" s="6">
        <v>374.05</v>
      </c>
      <c r="I43" s="6">
        <v>475.37</v>
      </c>
      <c r="J43" s="6">
        <v>19.84</v>
      </c>
      <c r="K43" s="6" t="s">
        <v>24</v>
      </c>
      <c r="L43" s="6" t="s">
        <v>25</v>
      </c>
      <c r="M43" s="6">
        <f t="shared" si="1"/>
        <v>2618.35</v>
      </c>
      <c r="N43" s="6">
        <f t="shared" si="2"/>
        <v>2667.396144</v>
      </c>
      <c r="O43" s="6">
        <f t="shared" si="3"/>
        <v>49.046144</v>
      </c>
      <c r="P43" s="7">
        <f t="shared" si="4"/>
        <v>0.01838727409</v>
      </c>
      <c r="Q43" s="6" t="s">
        <v>40</v>
      </c>
      <c r="R43" s="8">
        <f t="shared" si="5"/>
        <v>660.193856</v>
      </c>
    </row>
    <row r="44" ht="14.25" customHeight="1">
      <c r="A44" s="6" t="s">
        <v>172</v>
      </c>
      <c r="B44" s="6" t="s">
        <v>173</v>
      </c>
      <c r="C44" s="6" t="s">
        <v>174</v>
      </c>
      <c r="D44" s="6" t="s">
        <v>83</v>
      </c>
      <c r="E44" s="6" t="s">
        <v>87</v>
      </c>
      <c r="F44" s="6" t="s">
        <v>88</v>
      </c>
      <c r="G44" s="6">
        <v>3.0</v>
      </c>
      <c r="H44" s="6">
        <v>245.35</v>
      </c>
      <c r="I44" s="6">
        <v>314.67</v>
      </c>
      <c r="J44" s="6">
        <v>0.84</v>
      </c>
      <c r="K44" s="6" t="s">
        <v>24</v>
      </c>
      <c r="L44" s="6" t="s">
        <v>25</v>
      </c>
      <c r="M44" s="6">
        <f t="shared" si="1"/>
        <v>736.05</v>
      </c>
      <c r="N44" s="6">
        <f t="shared" si="2"/>
        <v>936.080316</v>
      </c>
      <c r="O44" s="6">
        <f t="shared" si="3"/>
        <v>200.030316</v>
      </c>
      <c r="P44" s="7">
        <f t="shared" si="4"/>
        <v>0.2136892664</v>
      </c>
      <c r="Q44" s="6" t="s">
        <v>49</v>
      </c>
      <c r="R44" s="8">
        <f t="shared" si="5"/>
        <v>7.929684</v>
      </c>
    </row>
    <row r="45" ht="14.25" customHeight="1">
      <c r="A45" s="6" t="s">
        <v>175</v>
      </c>
      <c r="B45" s="6" t="s">
        <v>176</v>
      </c>
      <c r="C45" s="6" t="s">
        <v>177</v>
      </c>
      <c r="D45" s="6" t="s">
        <v>30</v>
      </c>
      <c r="E45" s="6" t="s">
        <v>22</v>
      </c>
      <c r="F45" s="6" t="s">
        <v>23</v>
      </c>
      <c r="G45" s="6">
        <v>2.0</v>
      </c>
      <c r="H45" s="6">
        <v>119.47</v>
      </c>
      <c r="I45" s="6">
        <v>176.94</v>
      </c>
      <c r="J45" s="6">
        <v>11.45</v>
      </c>
      <c r="K45" s="6" t="s">
        <v>44</v>
      </c>
      <c r="L45" s="6" t="s">
        <v>55</v>
      </c>
      <c r="M45" s="6">
        <f t="shared" si="1"/>
        <v>238.94</v>
      </c>
      <c r="N45" s="6">
        <f t="shared" si="2"/>
        <v>313.36074</v>
      </c>
      <c r="O45" s="6">
        <f t="shared" si="3"/>
        <v>74.42074</v>
      </c>
      <c r="P45" s="7">
        <f t="shared" si="4"/>
        <v>0.237492227</v>
      </c>
      <c r="Q45" s="6" t="s">
        <v>40</v>
      </c>
      <c r="R45" s="8">
        <f t="shared" si="5"/>
        <v>40.51926</v>
      </c>
    </row>
    <row r="46" ht="14.25" customHeight="1">
      <c r="A46" s="6" t="s">
        <v>178</v>
      </c>
      <c r="B46" s="6" t="s">
        <v>179</v>
      </c>
      <c r="C46" s="6" t="s">
        <v>180</v>
      </c>
      <c r="D46" s="6" t="s">
        <v>48</v>
      </c>
      <c r="E46" s="6" t="s">
        <v>59</v>
      </c>
      <c r="F46" s="6" t="s">
        <v>60</v>
      </c>
      <c r="G46" s="6">
        <v>7.0</v>
      </c>
      <c r="H46" s="6">
        <v>462.45</v>
      </c>
      <c r="I46" s="6">
        <v>571.27</v>
      </c>
      <c r="J46" s="6">
        <v>5.61</v>
      </c>
      <c r="K46" s="6" t="s">
        <v>44</v>
      </c>
      <c r="L46" s="6" t="s">
        <v>25</v>
      </c>
      <c r="M46" s="6">
        <f t="shared" si="1"/>
        <v>3237.15</v>
      </c>
      <c r="N46" s="6">
        <f t="shared" si="2"/>
        <v>3774.552271</v>
      </c>
      <c r="O46" s="6">
        <f t="shared" si="3"/>
        <v>537.402271</v>
      </c>
      <c r="P46" s="7">
        <f t="shared" si="4"/>
        <v>0.1423751037</v>
      </c>
      <c r="Q46" s="6" t="s">
        <v>34</v>
      </c>
      <c r="R46" s="8">
        <f t="shared" si="5"/>
        <v>224.337729</v>
      </c>
    </row>
    <row r="47" ht="14.25" customHeight="1">
      <c r="A47" s="6" t="s">
        <v>181</v>
      </c>
      <c r="B47" s="6" t="s">
        <v>182</v>
      </c>
      <c r="C47" s="6" t="s">
        <v>183</v>
      </c>
      <c r="D47" s="6" t="s">
        <v>48</v>
      </c>
      <c r="E47" s="6" t="s">
        <v>59</v>
      </c>
      <c r="F47" s="6" t="s">
        <v>60</v>
      </c>
      <c r="G47" s="6">
        <v>7.0</v>
      </c>
      <c r="H47" s="6">
        <v>353.54</v>
      </c>
      <c r="I47" s="6">
        <v>476.68</v>
      </c>
      <c r="J47" s="6">
        <v>7.49</v>
      </c>
      <c r="K47" s="6" t="s">
        <v>44</v>
      </c>
      <c r="L47" s="6" t="s">
        <v>33</v>
      </c>
      <c r="M47" s="6">
        <f t="shared" si="1"/>
        <v>2474.78</v>
      </c>
      <c r="N47" s="6">
        <f t="shared" si="2"/>
        <v>3086.836676</v>
      </c>
      <c r="O47" s="6">
        <f t="shared" si="3"/>
        <v>612.056676</v>
      </c>
      <c r="P47" s="7">
        <f t="shared" si="4"/>
        <v>0.1982795788</v>
      </c>
      <c r="Q47" s="6" t="s">
        <v>76</v>
      </c>
      <c r="R47" s="8">
        <f t="shared" si="5"/>
        <v>249.923324</v>
      </c>
    </row>
    <row r="48" ht="14.25" customHeight="1">
      <c r="A48" s="6" t="s">
        <v>184</v>
      </c>
      <c r="B48" s="6" t="s">
        <v>185</v>
      </c>
      <c r="C48" s="6" t="s">
        <v>186</v>
      </c>
      <c r="D48" s="6" t="s">
        <v>64</v>
      </c>
      <c r="E48" s="6" t="s">
        <v>53</v>
      </c>
      <c r="F48" s="6" t="s">
        <v>54</v>
      </c>
      <c r="G48" s="6">
        <v>4.0</v>
      </c>
      <c r="H48" s="6">
        <v>377.94</v>
      </c>
      <c r="I48" s="6">
        <v>448.47</v>
      </c>
      <c r="J48" s="6">
        <v>0.04</v>
      </c>
      <c r="K48" s="6" t="s">
        <v>44</v>
      </c>
      <c r="L48" s="6" t="s">
        <v>33</v>
      </c>
      <c r="M48" s="6">
        <f t="shared" si="1"/>
        <v>1511.76</v>
      </c>
      <c r="N48" s="6">
        <f t="shared" si="2"/>
        <v>1793.162448</v>
      </c>
      <c r="O48" s="6">
        <f t="shared" si="3"/>
        <v>281.402448</v>
      </c>
      <c r="P48" s="7">
        <f t="shared" si="4"/>
        <v>0.156930817</v>
      </c>
      <c r="Q48" s="6" t="s">
        <v>26</v>
      </c>
      <c r="R48" s="8">
        <f t="shared" si="5"/>
        <v>0.717552</v>
      </c>
    </row>
    <row r="49" ht="14.25" customHeight="1">
      <c r="A49" s="6" t="s">
        <v>187</v>
      </c>
      <c r="B49" s="6" t="s">
        <v>188</v>
      </c>
      <c r="C49" s="6" t="s">
        <v>189</v>
      </c>
      <c r="D49" s="6" t="s">
        <v>21</v>
      </c>
      <c r="E49" s="6" t="s">
        <v>59</v>
      </c>
      <c r="F49" s="6" t="s">
        <v>60</v>
      </c>
      <c r="G49" s="6">
        <v>7.0</v>
      </c>
      <c r="H49" s="6">
        <v>182.77</v>
      </c>
      <c r="I49" s="6">
        <v>271.11</v>
      </c>
      <c r="J49" s="6">
        <v>6.83</v>
      </c>
      <c r="K49" s="6" t="s">
        <v>24</v>
      </c>
      <c r="L49" s="6" t="s">
        <v>33</v>
      </c>
      <c r="M49" s="6">
        <f t="shared" si="1"/>
        <v>1279.39</v>
      </c>
      <c r="N49" s="6">
        <f t="shared" si="2"/>
        <v>1768.152309</v>
      </c>
      <c r="O49" s="6">
        <f t="shared" si="3"/>
        <v>488.762309</v>
      </c>
      <c r="P49" s="7">
        <f t="shared" si="4"/>
        <v>0.2764254564</v>
      </c>
      <c r="Q49" s="6" t="s">
        <v>40</v>
      </c>
      <c r="R49" s="8">
        <f t="shared" si="5"/>
        <v>129.617691</v>
      </c>
    </row>
    <row r="50" ht="14.25" customHeight="1">
      <c r="A50" s="6" t="s">
        <v>190</v>
      </c>
      <c r="B50" s="6" t="s">
        <v>191</v>
      </c>
      <c r="C50" s="6" t="s">
        <v>192</v>
      </c>
      <c r="D50" s="6" t="s">
        <v>70</v>
      </c>
      <c r="E50" s="6" t="s">
        <v>22</v>
      </c>
      <c r="F50" s="6" t="s">
        <v>23</v>
      </c>
      <c r="G50" s="6">
        <v>8.0</v>
      </c>
      <c r="H50" s="6">
        <v>155.75</v>
      </c>
      <c r="I50" s="6">
        <v>244.45</v>
      </c>
      <c r="J50" s="6">
        <v>8.37</v>
      </c>
      <c r="K50" s="6" t="s">
        <v>44</v>
      </c>
      <c r="L50" s="6" t="s">
        <v>61</v>
      </c>
      <c r="M50" s="6">
        <f t="shared" si="1"/>
        <v>1246</v>
      </c>
      <c r="N50" s="6">
        <f t="shared" si="2"/>
        <v>1791.91628</v>
      </c>
      <c r="O50" s="6">
        <f t="shared" si="3"/>
        <v>545.91628</v>
      </c>
      <c r="P50" s="7">
        <f t="shared" si="4"/>
        <v>0.3046550144</v>
      </c>
      <c r="Q50" s="6" t="s">
        <v>49</v>
      </c>
      <c r="R50" s="8">
        <f t="shared" si="5"/>
        <v>163.68372</v>
      </c>
    </row>
    <row r="51" ht="14.25" customHeight="1">
      <c r="A51" s="6" t="s">
        <v>193</v>
      </c>
      <c r="B51" s="6" t="s">
        <v>194</v>
      </c>
      <c r="C51" s="6" t="s">
        <v>195</v>
      </c>
      <c r="D51" s="6" t="s">
        <v>83</v>
      </c>
      <c r="E51" s="6" t="s">
        <v>53</v>
      </c>
      <c r="F51" s="6" t="s">
        <v>54</v>
      </c>
      <c r="G51" s="6">
        <v>2.0</v>
      </c>
      <c r="H51" s="6">
        <v>269.99</v>
      </c>
      <c r="I51" s="6">
        <v>484.45</v>
      </c>
      <c r="J51" s="6">
        <v>7.78</v>
      </c>
      <c r="K51" s="6" t="s">
        <v>24</v>
      </c>
      <c r="L51" s="6" t="s">
        <v>61</v>
      </c>
      <c r="M51" s="6">
        <f t="shared" si="1"/>
        <v>539.98</v>
      </c>
      <c r="N51" s="6">
        <f t="shared" si="2"/>
        <v>893.51958</v>
      </c>
      <c r="O51" s="6">
        <f t="shared" si="3"/>
        <v>353.53958</v>
      </c>
      <c r="P51" s="7">
        <f t="shared" si="4"/>
        <v>0.3956707697</v>
      </c>
      <c r="Q51" s="6" t="s">
        <v>76</v>
      </c>
      <c r="R51" s="8">
        <f t="shared" si="5"/>
        <v>75.38042</v>
      </c>
    </row>
    <row r="52" ht="14.25" customHeight="1">
      <c r="A52" s="6" t="s">
        <v>196</v>
      </c>
      <c r="B52" s="6" t="s">
        <v>197</v>
      </c>
      <c r="C52" s="6" t="s">
        <v>198</v>
      </c>
      <c r="D52" s="6" t="s">
        <v>48</v>
      </c>
      <c r="E52" s="6" t="s">
        <v>65</v>
      </c>
      <c r="F52" s="6" t="s">
        <v>66</v>
      </c>
      <c r="G52" s="6">
        <v>2.0</v>
      </c>
      <c r="H52" s="6">
        <v>415.22</v>
      </c>
      <c r="I52" s="6">
        <v>589.55</v>
      </c>
      <c r="J52" s="6">
        <v>19.92</v>
      </c>
      <c r="K52" s="6" t="s">
        <v>24</v>
      </c>
      <c r="L52" s="6" t="s">
        <v>55</v>
      </c>
      <c r="M52" s="6">
        <f t="shared" si="1"/>
        <v>830.44</v>
      </c>
      <c r="N52" s="6">
        <f t="shared" si="2"/>
        <v>944.22328</v>
      </c>
      <c r="O52" s="6">
        <f t="shared" si="3"/>
        <v>113.78328</v>
      </c>
      <c r="P52" s="7">
        <f t="shared" si="4"/>
        <v>0.1205046332</v>
      </c>
      <c r="Q52" s="6" t="s">
        <v>26</v>
      </c>
      <c r="R52" s="8">
        <f t="shared" si="5"/>
        <v>234.87672</v>
      </c>
    </row>
    <row r="53" ht="14.25" customHeight="1">
      <c r="A53" s="6" t="s">
        <v>199</v>
      </c>
      <c r="B53" s="6" t="s">
        <v>200</v>
      </c>
      <c r="C53" s="6" t="s">
        <v>201</v>
      </c>
      <c r="D53" s="6" t="s">
        <v>70</v>
      </c>
      <c r="E53" s="6" t="s">
        <v>38</v>
      </c>
      <c r="F53" s="6" t="s">
        <v>39</v>
      </c>
      <c r="G53" s="6">
        <v>3.0</v>
      </c>
      <c r="H53" s="6">
        <v>320.52</v>
      </c>
      <c r="I53" s="6">
        <v>515.21</v>
      </c>
      <c r="J53" s="6">
        <v>18.55</v>
      </c>
      <c r="K53" s="6" t="s">
        <v>24</v>
      </c>
      <c r="L53" s="6" t="s">
        <v>61</v>
      </c>
      <c r="M53" s="6">
        <f t="shared" si="1"/>
        <v>961.56</v>
      </c>
      <c r="N53" s="6">
        <f t="shared" si="2"/>
        <v>1258.915635</v>
      </c>
      <c r="O53" s="6">
        <f t="shared" si="3"/>
        <v>297.355635</v>
      </c>
      <c r="P53" s="7">
        <f t="shared" si="4"/>
        <v>0.236199811</v>
      </c>
      <c r="Q53" s="6" t="s">
        <v>49</v>
      </c>
      <c r="R53" s="8">
        <f t="shared" si="5"/>
        <v>286.714365</v>
      </c>
    </row>
    <row r="54" ht="14.25" customHeight="1">
      <c r="A54" s="6" t="s">
        <v>202</v>
      </c>
      <c r="B54" s="6" t="s">
        <v>203</v>
      </c>
      <c r="C54" s="6" t="s">
        <v>204</v>
      </c>
      <c r="D54" s="6" t="s">
        <v>64</v>
      </c>
      <c r="E54" s="6" t="s">
        <v>87</v>
      </c>
      <c r="F54" s="6" t="s">
        <v>88</v>
      </c>
      <c r="G54" s="6">
        <v>3.0</v>
      </c>
      <c r="H54" s="6">
        <v>131.13</v>
      </c>
      <c r="I54" s="6">
        <v>251.2</v>
      </c>
      <c r="J54" s="6">
        <v>15.63</v>
      </c>
      <c r="K54" s="6" t="s">
        <v>24</v>
      </c>
      <c r="L54" s="6" t="s">
        <v>25</v>
      </c>
      <c r="M54" s="6">
        <f t="shared" si="1"/>
        <v>393.39</v>
      </c>
      <c r="N54" s="6">
        <f t="shared" si="2"/>
        <v>635.81232</v>
      </c>
      <c r="O54" s="6">
        <f t="shared" si="3"/>
        <v>242.42232</v>
      </c>
      <c r="P54" s="7">
        <f t="shared" si="4"/>
        <v>0.3812796833</v>
      </c>
      <c r="Q54" s="6" t="s">
        <v>26</v>
      </c>
      <c r="R54" s="8">
        <f t="shared" si="5"/>
        <v>117.78768</v>
      </c>
    </row>
    <row r="55" ht="14.25" customHeight="1">
      <c r="A55" s="6" t="s">
        <v>205</v>
      </c>
      <c r="B55" s="6" t="s">
        <v>206</v>
      </c>
      <c r="C55" s="6" t="s">
        <v>207</v>
      </c>
      <c r="D55" s="6" t="s">
        <v>70</v>
      </c>
      <c r="E55" s="6" t="s">
        <v>87</v>
      </c>
      <c r="F55" s="6" t="s">
        <v>88</v>
      </c>
      <c r="G55" s="6">
        <v>6.0</v>
      </c>
      <c r="H55" s="6">
        <v>371.51</v>
      </c>
      <c r="I55" s="6">
        <v>499.23</v>
      </c>
      <c r="J55" s="6">
        <v>22.85</v>
      </c>
      <c r="K55" s="6" t="s">
        <v>24</v>
      </c>
      <c r="L55" s="6" t="s">
        <v>33</v>
      </c>
      <c r="M55" s="6">
        <f t="shared" si="1"/>
        <v>2229.06</v>
      </c>
      <c r="N55" s="6">
        <f t="shared" si="2"/>
        <v>2310.93567</v>
      </c>
      <c r="O55" s="6">
        <f t="shared" si="3"/>
        <v>81.87567</v>
      </c>
      <c r="P55" s="7">
        <f t="shared" si="4"/>
        <v>0.03542966213</v>
      </c>
      <c r="Q55" s="6" t="s">
        <v>26</v>
      </c>
      <c r="R55" s="8">
        <f t="shared" si="5"/>
        <v>684.44433</v>
      </c>
    </row>
    <row r="56" ht="14.25" customHeight="1">
      <c r="A56" s="6" t="s">
        <v>208</v>
      </c>
      <c r="B56" s="6" t="s">
        <v>209</v>
      </c>
      <c r="C56" s="6" t="s">
        <v>210</v>
      </c>
      <c r="D56" s="6" t="s">
        <v>30</v>
      </c>
      <c r="E56" s="6" t="s">
        <v>53</v>
      </c>
      <c r="F56" s="6" t="s">
        <v>54</v>
      </c>
      <c r="G56" s="6">
        <v>6.0</v>
      </c>
      <c r="H56" s="6">
        <v>361.27</v>
      </c>
      <c r="I56" s="6">
        <v>518.12</v>
      </c>
      <c r="J56" s="6">
        <v>20.63</v>
      </c>
      <c r="K56" s="6" t="s">
        <v>44</v>
      </c>
      <c r="L56" s="6" t="s">
        <v>55</v>
      </c>
      <c r="M56" s="6">
        <f t="shared" si="1"/>
        <v>2167.62</v>
      </c>
      <c r="N56" s="6">
        <f t="shared" si="2"/>
        <v>2467.391064</v>
      </c>
      <c r="O56" s="6">
        <f t="shared" si="3"/>
        <v>299.771064</v>
      </c>
      <c r="P56" s="7">
        <f t="shared" si="4"/>
        <v>0.1214931303</v>
      </c>
      <c r="Q56" s="6" t="s">
        <v>76</v>
      </c>
      <c r="R56" s="8">
        <f t="shared" si="5"/>
        <v>641.328936</v>
      </c>
    </row>
    <row r="57" ht="14.25" customHeight="1">
      <c r="A57" s="6" t="s">
        <v>211</v>
      </c>
      <c r="B57" s="6" t="s">
        <v>19</v>
      </c>
      <c r="C57" s="6" t="s">
        <v>212</v>
      </c>
      <c r="D57" s="6" t="s">
        <v>30</v>
      </c>
      <c r="E57" s="6" t="s">
        <v>65</v>
      </c>
      <c r="F57" s="6" t="s">
        <v>75</v>
      </c>
      <c r="G57" s="6">
        <v>7.0</v>
      </c>
      <c r="H57" s="6">
        <v>141.63</v>
      </c>
      <c r="I57" s="6">
        <v>173.27</v>
      </c>
      <c r="J57" s="6">
        <v>16.12</v>
      </c>
      <c r="K57" s="6" t="s">
        <v>24</v>
      </c>
      <c r="L57" s="6" t="s">
        <v>61</v>
      </c>
      <c r="M57" s="6">
        <f t="shared" si="1"/>
        <v>991.41</v>
      </c>
      <c r="N57" s="6">
        <f t="shared" si="2"/>
        <v>1017.372132</v>
      </c>
      <c r="O57" s="6">
        <f t="shared" si="3"/>
        <v>25.962132</v>
      </c>
      <c r="P57" s="7">
        <f t="shared" si="4"/>
        <v>0.02551881576</v>
      </c>
      <c r="Q57" s="6" t="s">
        <v>49</v>
      </c>
      <c r="R57" s="8">
        <f t="shared" si="5"/>
        <v>195.517868</v>
      </c>
    </row>
    <row r="58" ht="14.25" customHeight="1">
      <c r="A58" s="6" t="s">
        <v>213</v>
      </c>
      <c r="B58" s="6" t="s">
        <v>214</v>
      </c>
      <c r="C58" s="6" t="s">
        <v>215</v>
      </c>
      <c r="D58" s="6" t="s">
        <v>21</v>
      </c>
      <c r="E58" s="6" t="s">
        <v>53</v>
      </c>
      <c r="F58" s="6" t="s">
        <v>54</v>
      </c>
      <c r="G58" s="6">
        <v>1.0</v>
      </c>
      <c r="H58" s="6">
        <v>289.67</v>
      </c>
      <c r="I58" s="6">
        <v>396.68</v>
      </c>
      <c r="J58" s="6">
        <v>17.34</v>
      </c>
      <c r="K58" s="6" t="s">
        <v>24</v>
      </c>
      <c r="L58" s="6" t="s">
        <v>55</v>
      </c>
      <c r="M58" s="6">
        <f t="shared" si="1"/>
        <v>289.67</v>
      </c>
      <c r="N58" s="6">
        <f t="shared" si="2"/>
        <v>327.895688</v>
      </c>
      <c r="O58" s="6">
        <f t="shared" si="3"/>
        <v>38.225688</v>
      </c>
      <c r="P58" s="7">
        <f t="shared" si="4"/>
        <v>0.1165788066</v>
      </c>
      <c r="Q58" s="6" t="s">
        <v>40</v>
      </c>
      <c r="R58" s="8">
        <f t="shared" si="5"/>
        <v>68.784312</v>
      </c>
    </row>
    <row r="59" ht="14.25" customHeight="1">
      <c r="A59" s="6" t="s">
        <v>216</v>
      </c>
      <c r="B59" s="6" t="s">
        <v>217</v>
      </c>
      <c r="C59" s="6" t="s">
        <v>218</v>
      </c>
      <c r="D59" s="6" t="s">
        <v>30</v>
      </c>
      <c r="E59" s="6" t="s">
        <v>38</v>
      </c>
      <c r="F59" s="6" t="s">
        <v>71</v>
      </c>
      <c r="G59" s="6">
        <v>5.0</v>
      </c>
      <c r="H59" s="6">
        <v>194.25</v>
      </c>
      <c r="I59" s="6">
        <v>334.46</v>
      </c>
      <c r="J59" s="6">
        <v>23.56</v>
      </c>
      <c r="K59" s="6" t="s">
        <v>44</v>
      </c>
      <c r="L59" s="6" t="s">
        <v>25</v>
      </c>
      <c r="M59" s="6">
        <f t="shared" si="1"/>
        <v>971.25</v>
      </c>
      <c r="N59" s="6">
        <f t="shared" si="2"/>
        <v>1278.30612</v>
      </c>
      <c r="O59" s="6">
        <f t="shared" si="3"/>
        <v>307.05612</v>
      </c>
      <c r="P59" s="7">
        <f t="shared" si="4"/>
        <v>0.2402054682</v>
      </c>
      <c r="Q59" s="6" t="s">
        <v>34</v>
      </c>
      <c r="R59" s="8">
        <f t="shared" si="5"/>
        <v>393.99388</v>
      </c>
    </row>
    <row r="60" ht="14.25" customHeight="1">
      <c r="A60" s="6" t="s">
        <v>219</v>
      </c>
      <c r="B60" s="6" t="s">
        <v>220</v>
      </c>
      <c r="C60" s="6" t="s">
        <v>221</v>
      </c>
      <c r="D60" s="6" t="s">
        <v>64</v>
      </c>
      <c r="E60" s="6" t="s">
        <v>22</v>
      </c>
      <c r="F60" s="6" t="s">
        <v>23</v>
      </c>
      <c r="G60" s="6">
        <v>1.0</v>
      </c>
      <c r="H60" s="6">
        <v>255.42</v>
      </c>
      <c r="I60" s="6">
        <v>432.14</v>
      </c>
      <c r="J60" s="6">
        <v>24.77</v>
      </c>
      <c r="K60" s="6" t="s">
        <v>24</v>
      </c>
      <c r="L60" s="6" t="s">
        <v>33</v>
      </c>
      <c r="M60" s="6">
        <f t="shared" si="1"/>
        <v>255.42</v>
      </c>
      <c r="N60" s="6">
        <f t="shared" si="2"/>
        <v>325.098922</v>
      </c>
      <c r="O60" s="6">
        <f t="shared" si="3"/>
        <v>69.678922</v>
      </c>
      <c r="P60" s="7">
        <f t="shared" si="4"/>
        <v>0.2143314459</v>
      </c>
      <c r="Q60" s="6" t="s">
        <v>49</v>
      </c>
      <c r="R60" s="8">
        <f t="shared" si="5"/>
        <v>107.041078</v>
      </c>
    </row>
    <row r="61" ht="14.25" customHeight="1">
      <c r="A61" s="6" t="s">
        <v>222</v>
      </c>
      <c r="B61" s="6" t="s">
        <v>223</v>
      </c>
      <c r="C61" s="6" t="s">
        <v>224</v>
      </c>
      <c r="D61" s="6" t="s">
        <v>83</v>
      </c>
      <c r="E61" s="6" t="s">
        <v>38</v>
      </c>
      <c r="F61" s="6" t="s">
        <v>39</v>
      </c>
      <c r="G61" s="6">
        <v>2.0</v>
      </c>
      <c r="H61" s="6">
        <v>233.27</v>
      </c>
      <c r="I61" s="6">
        <v>448.08</v>
      </c>
      <c r="J61" s="6">
        <v>1.69</v>
      </c>
      <c r="K61" s="6" t="s">
        <v>44</v>
      </c>
      <c r="L61" s="6" t="s">
        <v>33</v>
      </c>
      <c r="M61" s="6">
        <f t="shared" si="1"/>
        <v>466.54</v>
      </c>
      <c r="N61" s="6">
        <f t="shared" si="2"/>
        <v>881.014896</v>
      </c>
      <c r="O61" s="6">
        <f t="shared" si="3"/>
        <v>414.474896</v>
      </c>
      <c r="P61" s="7">
        <f t="shared" si="4"/>
        <v>0.4704516324</v>
      </c>
      <c r="Q61" s="6" t="s">
        <v>40</v>
      </c>
      <c r="R61" s="8">
        <f t="shared" si="5"/>
        <v>15.145104</v>
      </c>
    </row>
    <row r="62" ht="14.25" customHeight="1">
      <c r="A62" s="6" t="s">
        <v>225</v>
      </c>
      <c r="B62" s="6" t="s">
        <v>185</v>
      </c>
      <c r="C62" s="6" t="s">
        <v>226</v>
      </c>
      <c r="D62" s="6" t="s">
        <v>30</v>
      </c>
      <c r="E62" s="6" t="s">
        <v>65</v>
      </c>
      <c r="F62" s="6" t="s">
        <v>75</v>
      </c>
      <c r="G62" s="6">
        <v>1.0</v>
      </c>
      <c r="H62" s="6">
        <v>401.91</v>
      </c>
      <c r="I62" s="6">
        <v>549.89</v>
      </c>
      <c r="J62" s="6">
        <v>15.78</v>
      </c>
      <c r="K62" s="6" t="s">
        <v>24</v>
      </c>
      <c r="L62" s="6" t="s">
        <v>55</v>
      </c>
      <c r="M62" s="6">
        <f t="shared" si="1"/>
        <v>401.91</v>
      </c>
      <c r="N62" s="6">
        <f t="shared" si="2"/>
        <v>463.117358</v>
      </c>
      <c r="O62" s="6">
        <f t="shared" si="3"/>
        <v>61.207358</v>
      </c>
      <c r="P62" s="7">
        <f t="shared" si="4"/>
        <v>0.1321638175</v>
      </c>
      <c r="Q62" s="6" t="s">
        <v>34</v>
      </c>
      <c r="R62" s="8">
        <f t="shared" si="5"/>
        <v>86.772642</v>
      </c>
    </row>
    <row r="63" ht="14.25" customHeight="1">
      <c r="A63" s="6" t="s">
        <v>227</v>
      </c>
      <c r="B63" s="6" t="s">
        <v>228</v>
      </c>
      <c r="C63" s="6" t="s">
        <v>229</v>
      </c>
      <c r="D63" s="6" t="s">
        <v>48</v>
      </c>
      <c r="E63" s="6" t="s">
        <v>31</v>
      </c>
      <c r="F63" s="6" t="s">
        <v>32</v>
      </c>
      <c r="G63" s="6">
        <v>1.0</v>
      </c>
      <c r="H63" s="6">
        <v>127.06</v>
      </c>
      <c r="I63" s="6">
        <v>229.12</v>
      </c>
      <c r="J63" s="6">
        <v>22.03</v>
      </c>
      <c r="K63" s="6" t="s">
        <v>44</v>
      </c>
      <c r="L63" s="6" t="s">
        <v>33</v>
      </c>
      <c r="M63" s="6">
        <f t="shared" si="1"/>
        <v>127.06</v>
      </c>
      <c r="N63" s="6">
        <f t="shared" si="2"/>
        <v>178.644864</v>
      </c>
      <c r="O63" s="6">
        <f t="shared" si="3"/>
        <v>51.584864</v>
      </c>
      <c r="P63" s="7">
        <f t="shared" si="4"/>
        <v>0.2887564906</v>
      </c>
      <c r="Q63" s="6" t="s">
        <v>49</v>
      </c>
      <c r="R63" s="8">
        <f t="shared" si="5"/>
        <v>50.475136</v>
      </c>
    </row>
    <row r="64" ht="14.25" customHeight="1">
      <c r="A64" s="6" t="s">
        <v>230</v>
      </c>
      <c r="B64" s="6" t="s">
        <v>231</v>
      </c>
      <c r="C64" s="6" t="s">
        <v>232</v>
      </c>
      <c r="D64" s="6" t="s">
        <v>64</v>
      </c>
      <c r="E64" s="6" t="s">
        <v>59</v>
      </c>
      <c r="F64" s="6" t="s">
        <v>60</v>
      </c>
      <c r="G64" s="6">
        <v>2.0</v>
      </c>
      <c r="H64" s="6">
        <v>337.22</v>
      </c>
      <c r="I64" s="6">
        <v>462.71</v>
      </c>
      <c r="J64" s="6">
        <v>6.19</v>
      </c>
      <c r="K64" s="6" t="s">
        <v>24</v>
      </c>
      <c r="L64" s="6" t="s">
        <v>55</v>
      </c>
      <c r="M64" s="6">
        <f t="shared" si="1"/>
        <v>674.44</v>
      </c>
      <c r="N64" s="6">
        <f t="shared" si="2"/>
        <v>868.136502</v>
      </c>
      <c r="O64" s="6">
        <f t="shared" si="3"/>
        <v>193.696502</v>
      </c>
      <c r="P64" s="7">
        <f t="shared" si="4"/>
        <v>0.2231175645</v>
      </c>
      <c r="Q64" s="6" t="s">
        <v>49</v>
      </c>
      <c r="R64" s="8">
        <f t="shared" si="5"/>
        <v>57.283498</v>
      </c>
    </row>
    <row r="65" ht="14.25" customHeight="1">
      <c r="A65" s="6" t="s">
        <v>233</v>
      </c>
      <c r="B65" s="6" t="s">
        <v>234</v>
      </c>
      <c r="C65" s="6" t="s">
        <v>235</v>
      </c>
      <c r="D65" s="6" t="s">
        <v>21</v>
      </c>
      <c r="E65" s="6" t="s">
        <v>104</v>
      </c>
      <c r="F65" s="6" t="s">
        <v>105</v>
      </c>
      <c r="G65" s="6">
        <v>1.0</v>
      </c>
      <c r="H65" s="6">
        <v>216.77</v>
      </c>
      <c r="I65" s="6">
        <v>292.43</v>
      </c>
      <c r="J65" s="6">
        <v>11.75</v>
      </c>
      <c r="K65" s="6" t="s">
        <v>24</v>
      </c>
      <c r="L65" s="6" t="s">
        <v>55</v>
      </c>
      <c r="M65" s="6">
        <f t="shared" si="1"/>
        <v>216.77</v>
      </c>
      <c r="N65" s="6">
        <f t="shared" si="2"/>
        <v>258.069475</v>
      </c>
      <c r="O65" s="6">
        <f t="shared" si="3"/>
        <v>41.299475</v>
      </c>
      <c r="P65" s="7">
        <f t="shared" si="4"/>
        <v>0.1600323905</v>
      </c>
      <c r="Q65" s="6" t="s">
        <v>34</v>
      </c>
      <c r="R65" s="8">
        <f t="shared" si="5"/>
        <v>34.360525</v>
      </c>
    </row>
    <row r="66" ht="14.25" customHeight="1">
      <c r="A66" s="6" t="s">
        <v>236</v>
      </c>
      <c r="B66" s="6" t="s">
        <v>237</v>
      </c>
      <c r="C66" s="6" t="s">
        <v>238</v>
      </c>
      <c r="D66" s="6" t="s">
        <v>83</v>
      </c>
      <c r="E66" s="6" t="s">
        <v>104</v>
      </c>
      <c r="F66" s="6" t="s">
        <v>105</v>
      </c>
      <c r="G66" s="6">
        <v>2.0</v>
      </c>
      <c r="H66" s="6">
        <v>291.19</v>
      </c>
      <c r="I66" s="6">
        <v>374.01</v>
      </c>
      <c r="J66" s="6">
        <v>5.51</v>
      </c>
      <c r="K66" s="6" t="s">
        <v>44</v>
      </c>
      <c r="L66" s="6" t="s">
        <v>55</v>
      </c>
      <c r="M66" s="6">
        <f t="shared" si="1"/>
        <v>582.38</v>
      </c>
      <c r="N66" s="6">
        <f t="shared" si="2"/>
        <v>706.804098</v>
      </c>
      <c r="O66" s="6">
        <f t="shared" si="3"/>
        <v>124.424098</v>
      </c>
      <c r="P66" s="7">
        <f t="shared" si="4"/>
        <v>0.1760376013</v>
      </c>
      <c r="Q66" s="6" t="s">
        <v>76</v>
      </c>
      <c r="R66" s="8">
        <f t="shared" si="5"/>
        <v>41.215902</v>
      </c>
    </row>
    <row r="67" ht="14.25" customHeight="1">
      <c r="A67" s="6" t="s">
        <v>239</v>
      </c>
      <c r="B67" s="6" t="s">
        <v>28</v>
      </c>
      <c r="C67" s="6" t="s">
        <v>240</v>
      </c>
      <c r="D67" s="6" t="s">
        <v>21</v>
      </c>
      <c r="E67" s="6" t="s">
        <v>59</v>
      </c>
      <c r="F67" s="6" t="s">
        <v>60</v>
      </c>
      <c r="G67" s="6">
        <v>8.0</v>
      </c>
      <c r="H67" s="6">
        <v>153.87</v>
      </c>
      <c r="I67" s="6">
        <v>243.57</v>
      </c>
      <c r="J67" s="6">
        <v>11.49</v>
      </c>
      <c r="K67" s="6" t="s">
        <v>24</v>
      </c>
      <c r="L67" s="6" t="s">
        <v>33</v>
      </c>
      <c r="M67" s="6">
        <f t="shared" si="1"/>
        <v>1230.96</v>
      </c>
      <c r="N67" s="6">
        <f t="shared" si="2"/>
        <v>1724.670456</v>
      </c>
      <c r="O67" s="6">
        <f t="shared" si="3"/>
        <v>493.710456</v>
      </c>
      <c r="P67" s="7">
        <f t="shared" si="4"/>
        <v>0.2862636478</v>
      </c>
      <c r="Q67" s="6" t="s">
        <v>34</v>
      </c>
      <c r="R67" s="8">
        <f t="shared" si="5"/>
        <v>223.889544</v>
      </c>
    </row>
    <row r="68" ht="14.25" customHeight="1">
      <c r="A68" s="6" t="s">
        <v>241</v>
      </c>
      <c r="B68" s="6" t="s">
        <v>242</v>
      </c>
      <c r="C68" s="6" t="s">
        <v>243</v>
      </c>
      <c r="D68" s="6" t="s">
        <v>21</v>
      </c>
      <c r="E68" s="6" t="s">
        <v>87</v>
      </c>
      <c r="F68" s="6" t="s">
        <v>88</v>
      </c>
      <c r="G68" s="6">
        <v>7.0</v>
      </c>
      <c r="H68" s="6">
        <v>315.1</v>
      </c>
      <c r="I68" s="6">
        <v>481.04</v>
      </c>
      <c r="J68" s="6">
        <v>18.44</v>
      </c>
      <c r="K68" s="6" t="s">
        <v>24</v>
      </c>
      <c r="L68" s="6" t="s">
        <v>25</v>
      </c>
      <c r="M68" s="6">
        <f t="shared" si="1"/>
        <v>2205.7</v>
      </c>
      <c r="N68" s="6">
        <f t="shared" si="2"/>
        <v>2746.353568</v>
      </c>
      <c r="O68" s="6">
        <f t="shared" si="3"/>
        <v>540.653568</v>
      </c>
      <c r="P68" s="7">
        <f t="shared" si="4"/>
        <v>0.196862332</v>
      </c>
      <c r="Q68" s="6" t="s">
        <v>26</v>
      </c>
      <c r="R68" s="8">
        <f t="shared" si="5"/>
        <v>620.926432</v>
      </c>
    </row>
    <row r="69" ht="14.25" customHeight="1">
      <c r="A69" s="6" t="s">
        <v>244</v>
      </c>
      <c r="B69" s="6" t="s">
        <v>245</v>
      </c>
      <c r="C69" s="6" t="s">
        <v>246</v>
      </c>
      <c r="D69" s="6" t="s">
        <v>48</v>
      </c>
      <c r="E69" s="6" t="s">
        <v>31</v>
      </c>
      <c r="F69" s="6" t="s">
        <v>32</v>
      </c>
      <c r="G69" s="6">
        <v>3.0</v>
      </c>
      <c r="H69" s="6">
        <v>216.43</v>
      </c>
      <c r="I69" s="6">
        <v>392.76</v>
      </c>
      <c r="J69" s="6">
        <v>16.63</v>
      </c>
      <c r="K69" s="6" t="s">
        <v>24</v>
      </c>
      <c r="L69" s="6" t="s">
        <v>55</v>
      </c>
      <c r="M69" s="6">
        <f t="shared" si="1"/>
        <v>649.29</v>
      </c>
      <c r="N69" s="6">
        <f t="shared" si="2"/>
        <v>982.332036</v>
      </c>
      <c r="O69" s="6">
        <f t="shared" si="3"/>
        <v>333.042036</v>
      </c>
      <c r="P69" s="7">
        <f t="shared" si="4"/>
        <v>0.3390320419</v>
      </c>
      <c r="Q69" s="6" t="s">
        <v>26</v>
      </c>
      <c r="R69" s="8">
        <f t="shared" si="5"/>
        <v>195.947964</v>
      </c>
    </row>
    <row r="70" ht="14.25" customHeight="1">
      <c r="A70" s="6" t="s">
        <v>247</v>
      </c>
      <c r="B70" s="6" t="s">
        <v>248</v>
      </c>
      <c r="C70" s="6" t="s">
        <v>249</v>
      </c>
      <c r="D70" s="6" t="s">
        <v>70</v>
      </c>
      <c r="E70" s="6" t="s">
        <v>53</v>
      </c>
      <c r="F70" s="6" t="s">
        <v>54</v>
      </c>
      <c r="G70" s="6">
        <v>3.0</v>
      </c>
      <c r="H70" s="6">
        <v>194.64</v>
      </c>
      <c r="I70" s="6">
        <v>309.26</v>
      </c>
      <c r="J70" s="6">
        <v>5.13</v>
      </c>
      <c r="K70" s="6" t="s">
        <v>24</v>
      </c>
      <c r="L70" s="6" t="s">
        <v>55</v>
      </c>
      <c r="M70" s="6">
        <f t="shared" si="1"/>
        <v>583.92</v>
      </c>
      <c r="N70" s="6">
        <f t="shared" si="2"/>
        <v>880.184886</v>
      </c>
      <c r="O70" s="6">
        <f t="shared" si="3"/>
        <v>296.264886</v>
      </c>
      <c r="P70" s="7">
        <f t="shared" si="4"/>
        <v>0.3365939256</v>
      </c>
      <c r="Q70" s="6" t="s">
        <v>76</v>
      </c>
      <c r="R70" s="8">
        <f t="shared" si="5"/>
        <v>47.595114</v>
      </c>
    </row>
    <row r="71" ht="14.25" customHeight="1">
      <c r="A71" s="6" t="s">
        <v>250</v>
      </c>
      <c r="B71" s="6" t="s">
        <v>251</v>
      </c>
      <c r="C71" s="6" t="s">
        <v>252</v>
      </c>
      <c r="D71" s="6" t="s">
        <v>48</v>
      </c>
      <c r="E71" s="6" t="s">
        <v>38</v>
      </c>
      <c r="F71" s="6" t="s">
        <v>39</v>
      </c>
      <c r="G71" s="6">
        <v>8.0</v>
      </c>
      <c r="H71" s="6">
        <v>221.36</v>
      </c>
      <c r="I71" s="6">
        <v>269.27</v>
      </c>
      <c r="J71" s="6">
        <v>4.47</v>
      </c>
      <c r="K71" s="6" t="s">
        <v>24</v>
      </c>
      <c r="L71" s="6" t="s">
        <v>33</v>
      </c>
      <c r="M71" s="6">
        <f t="shared" si="1"/>
        <v>1770.88</v>
      </c>
      <c r="N71" s="6">
        <f t="shared" si="2"/>
        <v>2057.869048</v>
      </c>
      <c r="O71" s="6">
        <f t="shared" si="3"/>
        <v>286.989048</v>
      </c>
      <c r="P71" s="7">
        <f t="shared" si="4"/>
        <v>0.1394593345</v>
      </c>
      <c r="Q71" s="6" t="s">
        <v>40</v>
      </c>
      <c r="R71" s="8">
        <f t="shared" si="5"/>
        <v>96.290952</v>
      </c>
    </row>
    <row r="72" ht="14.25" customHeight="1">
      <c r="A72" s="6" t="s">
        <v>253</v>
      </c>
      <c r="B72" s="6" t="s">
        <v>254</v>
      </c>
      <c r="C72" s="6" t="s">
        <v>255</v>
      </c>
      <c r="D72" s="6" t="s">
        <v>70</v>
      </c>
      <c r="E72" s="6" t="s">
        <v>65</v>
      </c>
      <c r="F72" s="6" t="s">
        <v>66</v>
      </c>
      <c r="G72" s="6">
        <v>6.0</v>
      </c>
      <c r="H72" s="6">
        <v>373.63</v>
      </c>
      <c r="I72" s="6">
        <v>559.59</v>
      </c>
      <c r="J72" s="6">
        <v>11.86</v>
      </c>
      <c r="K72" s="6" t="s">
        <v>44</v>
      </c>
      <c r="L72" s="6" t="s">
        <v>61</v>
      </c>
      <c r="M72" s="6">
        <f t="shared" si="1"/>
        <v>2241.78</v>
      </c>
      <c r="N72" s="6">
        <f t="shared" si="2"/>
        <v>2959.335756</v>
      </c>
      <c r="O72" s="6">
        <f t="shared" si="3"/>
        <v>717.555756</v>
      </c>
      <c r="P72" s="7">
        <f t="shared" si="4"/>
        <v>0.2424718975</v>
      </c>
      <c r="Q72" s="6" t="s">
        <v>76</v>
      </c>
      <c r="R72" s="8">
        <f t="shared" si="5"/>
        <v>398.204244</v>
      </c>
    </row>
    <row r="73" ht="14.25" customHeight="1">
      <c r="A73" s="6" t="s">
        <v>256</v>
      </c>
      <c r="B73" s="6" t="s">
        <v>257</v>
      </c>
      <c r="C73" s="6" t="s">
        <v>258</v>
      </c>
      <c r="D73" s="6" t="s">
        <v>83</v>
      </c>
      <c r="E73" s="6" t="s">
        <v>38</v>
      </c>
      <c r="F73" s="6" t="s">
        <v>71</v>
      </c>
      <c r="G73" s="6">
        <v>2.0</v>
      </c>
      <c r="H73" s="6">
        <v>423.92</v>
      </c>
      <c r="I73" s="6">
        <v>571.43</v>
      </c>
      <c r="J73" s="6">
        <v>3.73</v>
      </c>
      <c r="K73" s="6" t="s">
        <v>44</v>
      </c>
      <c r="L73" s="6" t="s">
        <v>61</v>
      </c>
      <c r="M73" s="6">
        <f t="shared" si="1"/>
        <v>847.84</v>
      </c>
      <c r="N73" s="6">
        <f t="shared" si="2"/>
        <v>1100.231322</v>
      </c>
      <c r="O73" s="6">
        <f t="shared" si="3"/>
        <v>252.391322</v>
      </c>
      <c r="P73" s="7">
        <f t="shared" si="4"/>
        <v>0.2293984155</v>
      </c>
      <c r="Q73" s="6" t="s">
        <v>76</v>
      </c>
      <c r="R73" s="8">
        <f t="shared" si="5"/>
        <v>42.628678</v>
      </c>
    </row>
    <row r="74" ht="14.25" customHeight="1">
      <c r="A74" s="6" t="s">
        <v>259</v>
      </c>
      <c r="B74" s="6" t="s">
        <v>260</v>
      </c>
      <c r="C74" s="6" t="s">
        <v>261</v>
      </c>
      <c r="D74" s="6" t="s">
        <v>64</v>
      </c>
      <c r="E74" s="6" t="s">
        <v>65</v>
      </c>
      <c r="F74" s="6" t="s">
        <v>66</v>
      </c>
      <c r="G74" s="6">
        <v>7.0</v>
      </c>
      <c r="H74" s="6">
        <v>264.81</v>
      </c>
      <c r="I74" s="6">
        <v>440.71</v>
      </c>
      <c r="J74" s="6">
        <v>23.63</v>
      </c>
      <c r="K74" s="6" t="s">
        <v>44</v>
      </c>
      <c r="L74" s="6" t="s">
        <v>55</v>
      </c>
      <c r="M74" s="6">
        <f t="shared" si="1"/>
        <v>1853.67</v>
      </c>
      <c r="N74" s="6">
        <f t="shared" si="2"/>
        <v>2355.991589</v>
      </c>
      <c r="O74" s="6">
        <f t="shared" si="3"/>
        <v>502.321589</v>
      </c>
      <c r="P74" s="7">
        <f t="shared" si="4"/>
        <v>0.2132102641</v>
      </c>
      <c r="Q74" s="6" t="s">
        <v>40</v>
      </c>
      <c r="R74" s="8">
        <f t="shared" si="5"/>
        <v>728.978411</v>
      </c>
    </row>
    <row r="75" ht="14.25" customHeight="1">
      <c r="A75" s="6" t="s">
        <v>262</v>
      </c>
      <c r="B75" s="6" t="s">
        <v>263</v>
      </c>
      <c r="C75" s="6" t="s">
        <v>264</v>
      </c>
      <c r="D75" s="6" t="s">
        <v>21</v>
      </c>
      <c r="E75" s="6" t="s">
        <v>87</v>
      </c>
      <c r="F75" s="6" t="s">
        <v>88</v>
      </c>
      <c r="G75" s="6">
        <v>5.0</v>
      </c>
      <c r="H75" s="6">
        <v>223.65</v>
      </c>
      <c r="I75" s="6">
        <v>321.36</v>
      </c>
      <c r="J75" s="6">
        <v>10.9</v>
      </c>
      <c r="K75" s="6" t="s">
        <v>44</v>
      </c>
      <c r="L75" s="6" t="s">
        <v>55</v>
      </c>
      <c r="M75" s="6">
        <f t="shared" si="1"/>
        <v>1118.25</v>
      </c>
      <c r="N75" s="6">
        <f t="shared" si="2"/>
        <v>1431.6588</v>
      </c>
      <c r="O75" s="6">
        <f t="shared" si="3"/>
        <v>313.4088</v>
      </c>
      <c r="P75" s="7">
        <f t="shared" si="4"/>
        <v>0.2189130539</v>
      </c>
      <c r="Q75" s="6" t="s">
        <v>76</v>
      </c>
      <c r="R75" s="8">
        <f t="shared" si="5"/>
        <v>175.1412</v>
      </c>
    </row>
    <row r="76" ht="14.25" customHeight="1">
      <c r="A76" s="6" t="s">
        <v>265</v>
      </c>
      <c r="B76" s="6" t="s">
        <v>266</v>
      </c>
      <c r="C76" s="6" t="s">
        <v>267</v>
      </c>
      <c r="D76" s="6" t="s">
        <v>83</v>
      </c>
      <c r="E76" s="6" t="s">
        <v>38</v>
      </c>
      <c r="F76" s="6" t="s">
        <v>71</v>
      </c>
      <c r="G76" s="6">
        <v>3.0</v>
      </c>
      <c r="H76" s="6">
        <v>71.88</v>
      </c>
      <c r="I76" s="6">
        <v>92.32</v>
      </c>
      <c r="J76" s="6">
        <v>11.92</v>
      </c>
      <c r="K76" s="6" t="s">
        <v>44</v>
      </c>
      <c r="L76" s="6" t="s">
        <v>33</v>
      </c>
      <c r="M76" s="6">
        <f t="shared" si="1"/>
        <v>215.64</v>
      </c>
      <c r="N76" s="6">
        <f t="shared" si="2"/>
        <v>243.946368</v>
      </c>
      <c r="O76" s="6">
        <f t="shared" si="3"/>
        <v>28.306368</v>
      </c>
      <c r="P76" s="7">
        <f t="shared" si="4"/>
        <v>0.1160352098</v>
      </c>
      <c r="Q76" s="6" t="s">
        <v>34</v>
      </c>
      <c r="R76" s="8">
        <f t="shared" si="5"/>
        <v>33.013632</v>
      </c>
    </row>
    <row r="77" ht="14.25" customHeight="1">
      <c r="A77" s="6" t="s">
        <v>268</v>
      </c>
      <c r="B77" s="6" t="s">
        <v>269</v>
      </c>
      <c r="C77" s="6" t="s">
        <v>270</v>
      </c>
      <c r="D77" s="6" t="s">
        <v>21</v>
      </c>
      <c r="E77" s="6" t="s">
        <v>59</v>
      </c>
      <c r="F77" s="6" t="s">
        <v>60</v>
      </c>
      <c r="G77" s="6">
        <v>5.0</v>
      </c>
      <c r="H77" s="6">
        <v>187.04</v>
      </c>
      <c r="I77" s="6">
        <v>279.18</v>
      </c>
      <c r="J77" s="6">
        <v>15.22</v>
      </c>
      <c r="K77" s="6" t="s">
        <v>24</v>
      </c>
      <c r="L77" s="6" t="s">
        <v>61</v>
      </c>
      <c r="M77" s="6">
        <f t="shared" si="1"/>
        <v>935.2</v>
      </c>
      <c r="N77" s="6">
        <f t="shared" si="2"/>
        <v>1183.44402</v>
      </c>
      <c r="O77" s="6">
        <f t="shared" si="3"/>
        <v>248.24402</v>
      </c>
      <c r="P77" s="7">
        <f t="shared" si="4"/>
        <v>0.209764058</v>
      </c>
      <c r="Q77" s="6" t="s">
        <v>76</v>
      </c>
      <c r="R77" s="8">
        <f t="shared" si="5"/>
        <v>212.45598</v>
      </c>
    </row>
    <row r="78" ht="14.25" customHeight="1">
      <c r="A78" s="6" t="s">
        <v>271</v>
      </c>
      <c r="B78" s="6" t="s">
        <v>272</v>
      </c>
      <c r="C78" s="6" t="s">
        <v>273</v>
      </c>
      <c r="D78" s="6" t="s">
        <v>48</v>
      </c>
      <c r="E78" s="6" t="s">
        <v>65</v>
      </c>
      <c r="F78" s="6" t="s">
        <v>75</v>
      </c>
      <c r="G78" s="6">
        <v>8.0</v>
      </c>
      <c r="H78" s="6">
        <v>243.74</v>
      </c>
      <c r="I78" s="6">
        <v>294.26</v>
      </c>
      <c r="J78" s="6">
        <v>15.26</v>
      </c>
      <c r="K78" s="6" t="s">
        <v>44</v>
      </c>
      <c r="L78" s="6" t="s">
        <v>61</v>
      </c>
      <c r="M78" s="6">
        <f t="shared" si="1"/>
        <v>1949.92</v>
      </c>
      <c r="N78" s="6">
        <f t="shared" si="2"/>
        <v>1994.847392</v>
      </c>
      <c r="O78" s="6">
        <f t="shared" si="3"/>
        <v>44.927392</v>
      </c>
      <c r="P78" s="7">
        <f t="shared" si="4"/>
        <v>0.02252171879</v>
      </c>
      <c r="Q78" s="6" t="s">
        <v>26</v>
      </c>
      <c r="R78" s="8">
        <f t="shared" si="5"/>
        <v>359.232608</v>
      </c>
    </row>
    <row r="79" ht="14.25" customHeight="1">
      <c r="A79" s="6" t="s">
        <v>274</v>
      </c>
      <c r="B79" s="6" t="s">
        <v>275</v>
      </c>
      <c r="C79" s="6" t="s">
        <v>276</v>
      </c>
      <c r="D79" s="6" t="s">
        <v>70</v>
      </c>
      <c r="E79" s="6" t="s">
        <v>31</v>
      </c>
      <c r="F79" s="6" t="s">
        <v>32</v>
      </c>
      <c r="G79" s="6">
        <v>7.0</v>
      </c>
      <c r="H79" s="6">
        <v>74.5</v>
      </c>
      <c r="I79" s="6">
        <v>125.83</v>
      </c>
      <c r="J79" s="6">
        <v>9.27</v>
      </c>
      <c r="K79" s="6" t="s">
        <v>24</v>
      </c>
      <c r="L79" s="6" t="s">
        <v>61</v>
      </c>
      <c r="M79" s="6">
        <f t="shared" si="1"/>
        <v>521.5</v>
      </c>
      <c r="N79" s="6">
        <f t="shared" si="2"/>
        <v>799.158913</v>
      </c>
      <c r="O79" s="6">
        <f t="shared" si="3"/>
        <v>277.658913</v>
      </c>
      <c r="P79" s="7">
        <f t="shared" si="4"/>
        <v>0.3474389242</v>
      </c>
      <c r="Q79" s="6" t="s">
        <v>26</v>
      </c>
      <c r="R79" s="8">
        <f t="shared" si="5"/>
        <v>81.651087</v>
      </c>
    </row>
    <row r="80" ht="14.25" customHeight="1">
      <c r="A80" s="6" t="s">
        <v>277</v>
      </c>
      <c r="B80" s="6" t="s">
        <v>278</v>
      </c>
      <c r="C80" s="6" t="s">
        <v>279</v>
      </c>
      <c r="D80" s="6" t="s">
        <v>64</v>
      </c>
      <c r="E80" s="6" t="s">
        <v>87</v>
      </c>
      <c r="F80" s="6" t="s">
        <v>88</v>
      </c>
      <c r="G80" s="6">
        <v>5.0</v>
      </c>
      <c r="H80" s="6">
        <v>121.34</v>
      </c>
      <c r="I80" s="6">
        <v>162.78</v>
      </c>
      <c r="J80" s="6">
        <v>9.56</v>
      </c>
      <c r="K80" s="6" t="s">
        <v>44</v>
      </c>
      <c r="L80" s="6" t="s">
        <v>33</v>
      </c>
      <c r="M80" s="6">
        <f t="shared" si="1"/>
        <v>606.7</v>
      </c>
      <c r="N80" s="6">
        <f t="shared" si="2"/>
        <v>736.09116</v>
      </c>
      <c r="O80" s="6">
        <f t="shared" si="3"/>
        <v>129.39116</v>
      </c>
      <c r="P80" s="7">
        <f t="shared" si="4"/>
        <v>0.1757814345</v>
      </c>
      <c r="Q80" s="6" t="s">
        <v>34</v>
      </c>
      <c r="R80" s="8">
        <f t="shared" si="5"/>
        <v>77.80884</v>
      </c>
    </row>
    <row r="81" ht="14.25" customHeight="1">
      <c r="A81" s="6" t="s">
        <v>280</v>
      </c>
      <c r="B81" s="6" t="s">
        <v>281</v>
      </c>
      <c r="C81" s="6" t="s">
        <v>282</v>
      </c>
      <c r="D81" s="6" t="s">
        <v>64</v>
      </c>
      <c r="E81" s="6" t="s">
        <v>59</v>
      </c>
      <c r="F81" s="6" t="s">
        <v>60</v>
      </c>
      <c r="G81" s="6">
        <v>5.0</v>
      </c>
      <c r="H81" s="6">
        <v>228.93</v>
      </c>
      <c r="I81" s="6">
        <v>340.25</v>
      </c>
      <c r="J81" s="6">
        <v>2.01</v>
      </c>
      <c r="K81" s="6" t="s">
        <v>24</v>
      </c>
      <c r="L81" s="6" t="s">
        <v>55</v>
      </c>
      <c r="M81" s="6">
        <f t="shared" si="1"/>
        <v>1144.65</v>
      </c>
      <c r="N81" s="6">
        <f t="shared" si="2"/>
        <v>1667.054875</v>
      </c>
      <c r="O81" s="6">
        <f t="shared" si="3"/>
        <v>522.404875</v>
      </c>
      <c r="P81" s="7">
        <f t="shared" si="4"/>
        <v>0.3133699333</v>
      </c>
      <c r="Q81" s="6" t="s">
        <v>49</v>
      </c>
      <c r="R81" s="8">
        <f t="shared" si="5"/>
        <v>34.195125</v>
      </c>
    </row>
    <row r="82" ht="14.25" customHeight="1">
      <c r="A82" s="6" t="s">
        <v>283</v>
      </c>
      <c r="B82" s="6" t="s">
        <v>284</v>
      </c>
      <c r="C82" s="6" t="s">
        <v>285</v>
      </c>
      <c r="D82" s="6" t="s">
        <v>30</v>
      </c>
      <c r="E82" s="6" t="s">
        <v>38</v>
      </c>
      <c r="F82" s="6" t="s">
        <v>39</v>
      </c>
      <c r="G82" s="6">
        <v>1.0</v>
      </c>
      <c r="H82" s="6">
        <v>373.46</v>
      </c>
      <c r="I82" s="6">
        <v>599.95</v>
      </c>
      <c r="J82" s="6">
        <v>16.25</v>
      </c>
      <c r="K82" s="6" t="s">
        <v>44</v>
      </c>
      <c r="L82" s="6" t="s">
        <v>33</v>
      </c>
      <c r="M82" s="6">
        <f t="shared" si="1"/>
        <v>373.46</v>
      </c>
      <c r="N82" s="6">
        <f t="shared" si="2"/>
        <v>502.458125</v>
      </c>
      <c r="O82" s="6">
        <f t="shared" si="3"/>
        <v>128.998125</v>
      </c>
      <c r="P82" s="7">
        <f t="shared" si="4"/>
        <v>0.2567340811</v>
      </c>
      <c r="Q82" s="6" t="s">
        <v>49</v>
      </c>
      <c r="R82" s="8">
        <f t="shared" si="5"/>
        <v>97.491875</v>
      </c>
    </row>
    <row r="83" ht="14.25" customHeight="1">
      <c r="A83" s="6" t="s">
        <v>286</v>
      </c>
      <c r="B83" s="6" t="s">
        <v>287</v>
      </c>
      <c r="C83" s="6" t="s">
        <v>285</v>
      </c>
      <c r="D83" s="6" t="s">
        <v>21</v>
      </c>
      <c r="E83" s="6" t="s">
        <v>87</v>
      </c>
      <c r="F83" s="6" t="s">
        <v>88</v>
      </c>
      <c r="G83" s="6">
        <v>1.0</v>
      </c>
      <c r="H83" s="6">
        <v>441.02</v>
      </c>
      <c r="I83" s="6">
        <v>599.78</v>
      </c>
      <c r="J83" s="6">
        <v>6.74</v>
      </c>
      <c r="K83" s="6" t="s">
        <v>24</v>
      </c>
      <c r="L83" s="6" t="s">
        <v>61</v>
      </c>
      <c r="M83" s="6">
        <f t="shared" si="1"/>
        <v>441.02</v>
      </c>
      <c r="N83" s="6">
        <f t="shared" si="2"/>
        <v>559.354828</v>
      </c>
      <c r="O83" s="6">
        <f t="shared" si="3"/>
        <v>118.334828</v>
      </c>
      <c r="P83" s="7">
        <f t="shared" si="4"/>
        <v>0.2115559249</v>
      </c>
      <c r="Q83" s="6" t="s">
        <v>40</v>
      </c>
      <c r="R83" s="8">
        <f t="shared" si="5"/>
        <v>40.425172</v>
      </c>
    </row>
    <row r="84" ht="14.25" customHeight="1">
      <c r="A84" s="6" t="s">
        <v>288</v>
      </c>
      <c r="B84" s="6" t="s">
        <v>289</v>
      </c>
      <c r="C84" s="6" t="s">
        <v>290</v>
      </c>
      <c r="D84" s="6" t="s">
        <v>83</v>
      </c>
      <c r="E84" s="6" t="s">
        <v>38</v>
      </c>
      <c r="F84" s="6" t="s">
        <v>39</v>
      </c>
      <c r="G84" s="6">
        <v>6.0</v>
      </c>
      <c r="H84" s="6">
        <v>291.92</v>
      </c>
      <c r="I84" s="6">
        <v>541.75</v>
      </c>
      <c r="J84" s="6">
        <v>9.14</v>
      </c>
      <c r="K84" s="6" t="s">
        <v>24</v>
      </c>
      <c r="L84" s="6" t="s">
        <v>33</v>
      </c>
      <c r="M84" s="6">
        <f t="shared" si="1"/>
        <v>1751.52</v>
      </c>
      <c r="N84" s="6">
        <f t="shared" si="2"/>
        <v>2953.4043</v>
      </c>
      <c r="O84" s="6">
        <f t="shared" si="3"/>
        <v>1201.8843</v>
      </c>
      <c r="P84" s="7">
        <f t="shared" si="4"/>
        <v>0.4069487879</v>
      </c>
      <c r="Q84" s="6" t="s">
        <v>26</v>
      </c>
      <c r="R84" s="8">
        <f t="shared" si="5"/>
        <v>297.0957</v>
      </c>
    </row>
    <row r="85" ht="14.25" customHeight="1">
      <c r="A85" s="6" t="s">
        <v>291</v>
      </c>
      <c r="B85" s="6" t="s">
        <v>292</v>
      </c>
      <c r="C85" s="6" t="s">
        <v>293</v>
      </c>
      <c r="D85" s="6" t="s">
        <v>64</v>
      </c>
      <c r="E85" s="6" t="s">
        <v>53</v>
      </c>
      <c r="F85" s="6" t="s">
        <v>54</v>
      </c>
      <c r="G85" s="6">
        <v>7.0</v>
      </c>
      <c r="H85" s="6">
        <v>222.51</v>
      </c>
      <c r="I85" s="6">
        <v>320.61</v>
      </c>
      <c r="J85" s="6">
        <v>19.8</v>
      </c>
      <c r="K85" s="6" t="s">
        <v>44</v>
      </c>
      <c r="L85" s="6" t="s">
        <v>55</v>
      </c>
      <c r="M85" s="6">
        <f t="shared" si="1"/>
        <v>1557.57</v>
      </c>
      <c r="N85" s="6">
        <f t="shared" si="2"/>
        <v>1799.90454</v>
      </c>
      <c r="O85" s="6">
        <f t="shared" si="3"/>
        <v>242.33454</v>
      </c>
      <c r="P85" s="7">
        <f t="shared" si="4"/>
        <v>0.1346374403</v>
      </c>
      <c r="Q85" s="6" t="s">
        <v>26</v>
      </c>
      <c r="R85" s="8">
        <f t="shared" si="5"/>
        <v>444.36546</v>
      </c>
    </row>
    <row r="86" ht="14.25" customHeight="1">
      <c r="A86" s="6" t="s">
        <v>294</v>
      </c>
      <c r="B86" s="6" t="s">
        <v>295</v>
      </c>
      <c r="C86" s="6" t="s">
        <v>296</v>
      </c>
      <c r="D86" s="6" t="s">
        <v>48</v>
      </c>
      <c r="E86" s="6" t="s">
        <v>53</v>
      </c>
      <c r="F86" s="6" t="s">
        <v>54</v>
      </c>
      <c r="G86" s="6">
        <v>7.0</v>
      </c>
      <c r="H86" s="6">
        <v>151.43</v>
      </c>
      <c r="I86" s="6">
        <v>237.3</v>
      </c>
      <c r="J86" s="6">
        <v>9.27</v>
      </c>
      <c r="K86" s="6" t="s">
        <v>44</v>
      </c>
      <c r="L86" s="6" t="s">
        <v>55</v>
      </c>
      <c r="M86" s="6">
        <f t="shared" si="1"/>
        <v>1060.01</v>
      </c>
      <c r="N86" s="6">
        <f t="shared" si="2"/>
        <v>1507.11603</v>
      </c>
      <c r="O86" s="6">
        <f t="shared" si="3"/>
        <v>447.10603</v>
      </c>
      <c r="P86" s="7">
        <f t="shared" si="4"/>
        <v>0.29666331</v>
      </c>
      <c r="Q86" s="6" t="s">
        <v>76</v>
      </c>
      <c r="R86" s="8">
        <f t="shared" si="5"/>
        <v>153.98397</v>
      </c>
    </row>
    <row r="87" ht="14.25" customHeight="1">
      <c r="A87" s="6" t="s">
        <v>297</v>
      </c>
      <c r="B87" s="6" t="s">
        <v>197</v>
      </c>
      <c r="C87" s="6" t="s">
        <v>298</v>
      </c>
      <c r="D87" s="6" t="s">
        <v>30</v>
      </c>
      <c r="E87" s="6" t="s">
        <v>22</v>
      </c>
      <c r="F87" s="6" t="s">
        <v>23</v>
      </c>
      <c r="G87" s="6">
        <v>1.0</v>
      </c>
      <c r="H87" s="6">
        <v>454.74</v>
      </c>
      <c r="I87" s="6">
        <v>565.74</v>
      </c>
      <c r="J87" s="6">
        <v>6.49</v>
      </c>
      <c r="K87" s="6" t="s">
        <v>44</v>
      </c>
      <c r="L87" s="6" t="s">
        <v>55</v>
      </c>
      <c r="M87" s="6">
        <f t="shared" si="1"/>
        <v>454.74</v>
      </c>
      <c r="N87" s="6">
        <f t="shared" si="2"/>
        <v>529.023474</v>
      </c>
      <c r="O87" s="6">
        <f t="shared" si="3"/>
        <v>74.283474</v>
      </c>
      <c r="P87" s="7">
        <f t="shared" si="4"/>
        <v>0.1404162153</v>
      </c>
      <c r="Q87" s="6" t="s">
        <v>49</v>
      </c>
      <c r="R87" s="8">
        <f t="shared" si="5"/>
        <v>36.716526</v>
      </c>
    </row>
    <row r="88" ht="14.25" customHeight="1">
      <c r="A88" s="6" t="s">
        <v>299</v>
      </c>
      <c r="B88" s="6" t="s">
        <v>300</v>
      </c>
      <c r="C88" s="6" t="s">
        <v>301</v>
      </c>
      <c r="D88" s="6" t="s">
        <v>70</v>
      </c>
      <c r="E88" s="6" t="s">
        <v>65</v>
      </c>
      <c r="F88" s="6" t="s">
        <v>75</v>
      </c>
      <c r="G88" s="6">
        <v>2.0</v>
      </c>
      <c r="H88" s="6">
        <v>287.67</v>
      </c>
      <c r="I88" s="6">
        <v>433.69</v>
      </c>
      <c r="J88" s="6">
        <v>9.04</v>
      </c>
      <c r="K88" s="6" t="s">
        <v>44</v>
      </c>
      <c r="L88" s="6" t="s">
        <v>25</v>
      </c>
      <c r="M88" s="6">
        <f t="shared" si="1"/>
        <v>575.34</v>
      </c>
      <c r="N88" s="6">
        <f t="shared" si="2"/>
        <v>788.968848</v>
      </c>
      <c r="O88" s="6">
        <f t="shared" si="3"/>
        <v>213.628848</v>
      </c>
      <c r="P88" s="7">
        <f t="shared" si="4"/>
        <v>0.270769687</v>
      </c>
      <c r="Q88" s="6" t="s">
        <v>40</v>
      </c>
      <c r="R88" s="8">
        <f t="shared" si="5"/>
        <v>78.411152</v>
      </c>
    </row>
    <row r="89" ht="14.25" customHeight="1">
      <c r="A89" s="6" t="s">
        <v>302</v>
      </c>
      <c r="B89" s="6" t="s">
        <v>303</v>
      </c>
      <c r="C89" s="6" t="s">
        <v>304</v>
      </c>
      <c r="D89" s="6" t="s">
        <v>64</v>
      </c>
      <c r="E89" s="6" t="s">
        <v>38</v>
      </c>
      <c r="F89" s="6" t="s">
        <v>39</v>
      </c>
      <c r="G89" s="6">
        <v>8.0</v>
      </c>
      <c r="H89" s="6">
        <v>291.63</v>
      </c>
      <c r="I89" s="6">
        <v>390.85</v>
      </c>
      <c r="J89" s="6">
        <v>1.22</v>
      </c>
      <c r="K89" s="6" t="s">
        <v>24</v>
      </c>
      <c r="L89" s="6" t="s">
        <v>33</v>
      </c>
      <c r="M89" s="6">
        <f t="shared" si="1"/>
        <v>2333.04</v>
      </c>
      <c r="N89" s="6">
        <f t="shared" si="2"/>
        <v>3088.65304</v>
      </c>
      <c r="O89" s="6">
        <f t="shared" si="3"/>
        <v>755.61304</v>
      </c>
      <c r="P89" s="7">
        <f t="shared" si="4"/>
        <v>0.244641606</v>
      </c>
      <c r="Q89" s="6" t="s">
        <v>26</v>
      </c>
      <c r="R89" s="8">
        <f t="shared" si="5"/>
        <v>38.14696</v>
      </c>
    </row>
    <row r="90" ht="14.25" customHeight="1">
      <c r="A90" s="6" t="s">
        <v>305</v>
      </c>
      <c r="B90" s="6" t="s">
        <v>306</v>
      </c>
      <c r="C90" s="6" t="s">
        <v>307</v>
      </c>
      <c r="D90" s="6" t="s">
        <v>83</v>
      </c>
      <c r="E90" s="6" t="s">
        <v>87</v>
      </c>
      <c r="F90" s="6" t="s">
        <v>88</v>
      </c>
      <c r="G90" s="6">
        <v>2.0</v>
      </c>
      <c r="H90" s="6">
        <v>364.41</v>
      </c>
      <c r="I90" s="6">
        <v>481.18</v>
      </c>
      <c r="J90" s="6">
        <v>8.31</v>
      </c>
      <c r="K90" s="6" t="s">
        <v>24</v>
      </c>
      <c r="L90" s="6" t="s">
        <v>33</v>
      </c>
      <c r="M90" s="6">
        <f t="shared" si="1"/>
        <v>728.82</v>
      </c>
      <c r="N90" s="6">
        <f t="shared" si="2"/>
        <v>882.387884</v>
      </c>
      <c r="O90" s="6">
        <f t="shared" si="3"/>
        <v>153.567884</v>
      </c>
      <c r="P90" s="7">
        <f t="shared" si="4"/>
        <v>0.1740367097</v>
      </c>
      <c r="Q90" s="6" t="s">
        <v>34</v>
      </c>
      <c r="R90" s="8">
        <f t="shared" si="5"/>
        <v>79.972116</v>
      </c>
    </row>
    <row r="91" ht="14.25" customHeight="1">
      <c r="A91" s="6" t="s">
        <v>308</v>
      </c>
      <c r="B91" s="6" t="s">
        <v>309</v>
      </c>
      <c r="C91" s="6" t="s">
        <v>310</v>
      </c>
      <c r="D91" s="6" t="s">
        <v>48</v>
      </c>
      <c r="E91" s="6" t="s">
        <v>22</v>
      </c>
      <c r="F91" s="6" t="s">
        <v>23</v>
      </c>
      <c r="G91" s="6">
        <v>7.0</v>
      </c>
      <c r="H91" s="6">
        <v>120.73</v>
      </c>
      <c r="I91" s="6">
        <v>233.65</v>
      </c>
      <c r="J91" s="6">
        <v>1.91</v>
      </c>
      <c r="K91" s="6" t="s">
        <v>44</v>
      </c>
      <c r="L91" s="6" t="s">
        <v>61</v>
      </c>
      <c r="M91" s="6">
        <f t="shared" si="1"/>
        <v>845.11</v>
      </c>
      <c r="N91" s="6">
        <f t="shared" si="2"/>
        <v>1604.310995</v>
      </c>
      <c r="O91" s="6">
        <f t="shared" si="3"/>
        <v>759.200995</v>
      </c>
      <c r="P91" s="7">
        <f t="shared" si="4"/>
        <v>0.4732255762</v>
      </c>
      <c r="Q91" s="6" t="s">
        <v>34</v>
      </c>
      <c r="R91" s="8">
        <f t="shared" si="5"/>
        <v>31.239005</v>
      </c>
    </row>
    <row r="92" ht="14.25" customHeight="1">
      <c r="A92" s="6" t="s">
        <v>311</v>
      </c>
      <c r="B92" s="6" t="s">
        <v>312</v>
      </c>
      <c r="C92" s="6" t="s">
        <v>313</v>
      </c>
      <c r="D92" s="6" t="s">
        <v>70</v>
      </c>
      <c r="E92" s="6" t="s">
        <v>59</v>
      </c>
      <c r="F92" s="6" t="s">
        <v>60</v>
      </c>
      <c r="G92" s="6">
        <v>2.0</v>
      </c>
      <c r="H92" s="6">
        <v>259.45</v>
      </c>
      <c r="I92" s="6">
        <v>358.11</v>
      </c>
      <c r="J92" s="6">
        <v>15.46</v>
      </c>
      <c r="K92" s="6" t="s">
        <v>44</v>
      </c>
      <c r="L92" s="6" t="s">
        <v>55</v>
      </c>
      <c r="M92" s="6">
        <f t="shared" si="1"/>
        <v>518.9</v>
      </c>
      <c r="N92" s="6">
        <f t="shared" si="2"/>
        <v>605.492388</v>
      </c>
      <c r="O92" s="6">
        <f t="shared" si="3"/>
        <v>86.592388</v>
      </c>
      <c r="P92" s="7">
        <f t="shared" si="4"/>
        <v>0.1430115221</v>
      </c>
      <c r="Q92" s="6" t="s">
        <v>26</v>
      </c>
      <c r="R92" s="8">
        <f t="shared" si="5"/>
        <v>110.727612</v>
      </c>
    </row>
    <row r="93" ht="14.25" customHeight="1">
      <c r="A93" s="6" t="s">
        <v>314</v>
      </c>
      <c r="B93" s="6" t="s">
        <v>315</v>
      </c>
      <c r="C93" s="6" t="s">
        <v>316</v>
      </c>
      <c r="D93" s="6" t="s">
        <v>21</v>
      </c>
      <c r="E93" s="6" t="s">
        <v>65</v>
      </c>
      <c r="F93" s="6" t="s">
        <v>75</v>
      </c>
      <c r="G93" s="6">
        <v>4.0</v>
      </c>
      <c r="H93" s="6">
        <v>278.64</v>
      </c>
      <c r="I93" s="6">
        <v>331.81</v>
      </c>
      <c r="J93" s="6">
        <v>19.24</v>
      </c>
      <c r="K93" s="6" t="s">
        <v>24</v>
      </c>
      <c r="L93" s="6" t="s">
        <v>55</v>
      </c>
      <c r="M93" s="6">
        <f t="shared" si="1"/>
        <v>1114.56</v>
      </c>
      <c r="N93" s="6">
        <f t="shared" si="2"/>
        <v>1071.879024</v>
      </c>
      <c r="O93" s="6">
        <f t="shared" si="3"/>
        <v>-42.680976</v>
      </c>
      <c r="P93" s="7">
        <f t="shared" si="4"/>
        <v>-0.03981883687</v>
      </c>
      <c r="Q93" s="6" t="s">
        <v>34</v>
      </c>
      <c r="R93" s="8">
        <f t="shared" si="5"/>
        <v>255.360976</v>
      </c>
    </row>
    <row r="94" ht="14.25" customHeight="1">
      <c r="A94" s="6" t="s">
        <v>317</v>
      </c>
      <c r="B94" s="6" t="s">
        <v>63</v>
      </c>
      <c r="C94" s="6" t="s">
        <v>318</v>
      </c>
      <c r="D94" s="6" t="s">
        <v>64</v>
      </c>
      <c r="E94" s="6" t="s">
        <v>104</v>
      </c>
      <c r="F94" s="6" t="s">
        <v>105</v>
      </c>
      <c r="G94" s="6">
        <v>6.0</v>
      </c>
      <c r="H94" s="6">
        <v>295.47</v>
      </c>
      <c r="I94" s="6">
        <v>488.37</v>
      </c>
      <c r="J94" s="6">
        <v>14.05</v>
      </c>
      <c r="K94" s="6" t="s">
        <v>44</v>
      </c>
      <c r="L94" s="6" t="s">
        <v>33</v>
      </c>
      <c r="M94" s="6">
        <f t="shared" si="1"/>
        <v>1772.82</v>
      </c>
      <c r="N94" s="6">
        <f t="shared" si="2"/>
        <v>2518.52409</v>
      </c>
      <c r="O94" s="6">
        <f t="shared" si="3"/>
        <v>745.70409</v>
      </c>
      <c r="P94" s="7">
        <f t="shared" si="4"/>
        <v>0.2960877337</v>
      </c>
      <c r="Q94" s="6" t="s">
        <v>49</v>
      </c>
      <c r="R94" s="8">
        <f t="shared" si="5"/>
        <v>411.69591</v>
      </c>
    </row>
    <row r="95" ht="14.25" customHeight="1">
      <c r="A95" s="6" t="s">
        <v>319</v>
      </c>
      <c r="B95" s="6" t="s">
        <v>209</v>
      </c>
      <c r="C95" s="6" t="s">
        <v>320</v>
      </c>
      <c r="D95" s="6" t="s">
        <v>48</v>
      </c>
      <c r="E95" s="6" t="s">
        <v>59</v>
      </c>
      <c r="F95" s="6" t="s">
        <v>60</v>
      </c>
      <c r="G95" s="6">
        <v>5.0</v>
      </c>
      <c r="H95" s="6">
        <v>67.6</v>
      </c>
      <c r="I95" s="6">
        <v>84.21</v>
      </c>
      <c r="J95" s="6">
        <v>19.46</v>
      </c>
      <c r="K95" s="6" t="s">
        <v>24</v>
      </c>
      <c r="L95" s="6" t="s">
        <v>55</v>
      </c>
      <c r="M95" s="6">
        <f t="shared" si="1"/>
        <v>338</v>
      </c>
      <c r="N95" s="6">
        <f t="shared" si="2"/>
        <v>339.11367</v>
      </c>
      <c r="O95" s="6">
        <f t="shared" si="3"/>
        <v>1.11367</v>
      </c>
      <c r="P95" s="7">
        <f t="shared" si="4"/>
        <v>0.003284061064</v>
      </c>
      <c r="Q95" s="6" t="s">
        <v>76</v>
      </c>
      <c r="R95" s="8">
        <f t="shared" si="5"/>
        <v>81.93633</v>
      </c>
    </row>
    <row r="96" ht="14.25" customHeight="1">
      <c r="A96" s="6" t="s">
        <v>321</v>
      </c>
      <c r="B96" s="6" t="s">
        <v>322</v>
      </c>
      <c r="C96" s="6" t="s">
        <v>323</v>
      </c>
      <c r="D96" s="6" t="s">
        <v>48</v>
      </c>
      <c r="E96" s="6" t="s">
        <v>59</v>
      </c>
      <c r="F96" s="6" t="s">
        <v>60</v>
      </c>
      <c r="G96" s="6">
        <v>3.0</v>
      </c>
      <c r="H96" s="6">
        <v>78.67</v>
      </c>
      <c r="I96" s="6">
        <v>148.74</v>
      </c>
      <c r="J96" s="6">
        <v>14.29</v>
      </c>
      <c r="K96" s="6" t="s">
        <v>24</v>
      </c>
      <c r="L96" s="6" t="s">
        <v>55</v>
      </c>
      <c r="M96" s="6">
        <f t="shared" si="1"/>
        <v>236.01</v>
      </c>
      <c r="N96" s="6">
        <f t="shared" si="2"/>
        <v>382.455162</v>
      </c>
      <c r="O96" s="6">
        <f t="shared" si="3"/>
        <v>146.445162</v>
      </c>
      <c r="P96" s="7">
        <f t="shared" si="4"/>
        <v>0.3829080545</v>
      </c>
      <c r="Q96" s="6" t="s">
        <v>49</v>
      </c>
      <c r="R96" s="8">
        <f t="shared" si="5"/>
        <v>63.764838</v>
      </c>
    </row>
    <row r="97" ht="14.25" customHeight="1">
      <c r="A97" s="6" t="s">
        <v>324</v>
      </c>
      <c r="B97" s="6" t="s">
        <v>325</v>
      </c>
      <c r="C97" s="6" t="s">
        <v>326</v>
      </c>
      <c r="D97" s="6" t="s">
        <v>30</v>
      </c>
      <c r="E97" s="6" t="s">
        <v>22</v>
      </c>
      <c r="F97" s="6" t="s">
        <v>23</v>
      </c>
      <c r="G97" s="6">
        <v>8.0</v>
      </c>
      <c r="H97" s="6">
        <v>54.27</v>
      </c>
      <c r="I97" s="6">
        <v>106.38</v>
      </c>
      <c r="J97" s="6">
        <v>22.58</v>
      </c>
      <c r="K97" s="6" t="s">
        <v>24</v>
      </c>
      <c r="L97" s="6" t="s">
        <v>25</v>
      </c>
      <c r="M97" s="6">
        <f t="shared" si="1"/>
        <v>434.16</v>
      </c>
      <c r="N97" s="6">
        <f t="shared" si="2"/>
        <v>658.875168</v>
      </c>
      <c r="O97" s="6">
        <f t="shared" si="3"/>
        <v>224.715168</v>
      </c>
      <c r="P97" s="7">
        <f t="shared" si="4"/>
        <v>0.3410587907</v>
      </c>
      <c r="Q97" s="6" t="s">
        <v>49</v>
      </c>
      <c r="R97" s="8">
        <f t="shared" si="5"/>
        <v>192.164832</v>
      </c>
    </row>
    <row r="98" ht="14.25" customHeight="1">
      <c r="A98" s="6" t="s">
        <v>327</v>
      </c>
      <c r="B98" s="6" t="s">
        <v>42</v>
      </c>
      <c r="C98" s="6" t="s">
        <v>328</v>
      </c>
      <c r="D98" s="6" t="s">
        <v>83</v>
      </c>
      <c r="E98" s="6" t="s">
        <v>38</v>
      </c>
      <c r="F98" s="6" t="s">
        <v>39</v>
      </c>
      <c r="G98" s="6">
        <v>5.0</v>
      </c>
      <c r="H98" s="6">
        <v>212.01</v>
      </c>
      <c r="I98" s="6">
        <v>324.09</v>
      </c>
      <c r="J98" s="6">
        <v>4.61</v>
      </c>
      <c r="K98" s="6" t="s">
        <v>24</v>
      </c>
      <c r="L98" s="6" t="s">
        <v>25</v>
      </c>
      <c r="M98" s="6">
        <f t="shared" si="1"/>
        <v>1060.05</v>
      </c>
      <c r="N98" s="6">
        <f t="shared" si="2"/>
        <v>1545.747255</v>
      </c>
      <c r="O98" s="6">
        <f t="shared" si="3"/>
        <v>485.697255</v>
      </c>
      <c r="P98" s="7">
        <f t="shared" si="4"/>
        <v>0.314215182</v>
      </c>
      <c r="Q98" s="6" t="s">
        <v>49</v>
      </c>
      <c r="R98" s="8">
        <f t="shared" si="5"/>
        <v>74.702745</v>
      </c>
    </row>
    <row r="99" ht="14.25" customHeight="1">
      <c r="A99" s="6" t="s">
        <v>329</v>
      </c>
      <c r="B99" s="6" t="s">
        <v>330</v>
      </c>
      <c r="C99" s="6" t="s">
        <v>331</v>
      </c>
      <c r="D99" s="6" t="s">
        <v>21</v>
      </c>
      <c r="E99" s="6" t="s">
        <v>104</v>
      </c>
      <c r="F99" s="6" t="s">
        <v>105</v>
      </c>
      <c r="G99" s="6">
        <v>2.0</v>
      </c>
      <c r="H99" s="6">
        <v>122.61</v>
      </c>
      <c r="I99" s="6">
        <v>191.52</v>
      </c>
      <c r="J99" s="6">
        <v>8.46</v>
      </c>
      <c r="K99" s="6" t="s">
        <v>24</v>
      </c>
      <c r="L99" s="6" t="s">
        <v>25</v>
      </c>
      <c r="M99" s="6">
        <f t="shared" si="1"/>
        <v>245.22</v>
      </c>
      <c r="N99" s="6">
        <f t="shared" si="2"/>
        <v>350.634816</v>
      </c>
      <c r="O99" s="6">
        <f t="shared" si="3"/>
        <v>105.414816</v>
      </c>
      <c r="P99" s="7">
        <f t="shared" si="4"/>
        <v>0.3006398999</v>
      </c>
      <c r="Q99" s="6" t="s">
        <v>49</v>
      </c>
      <c r="R99" s="8">
        <f t="shared" si="5"/>
        <v>32.405184</v>
      </c>
    </row>
    <row r="100" ht="14.25" customHeight="1">
      <c r="A100" s="6" t="s">
        <v>332</v>
      </c>
      <c r="B100" s="6" t="s">
        <v>333</v>
      </c>
      <c r="C100" s="6" t="s">
        <v>334</v>
      </c>
      <c r="D100" s="6" t="s">
        <v>21</v>
      </c>
      <c r="E100" s="6" t="s">
        <v>104</v>
      </c>
      <c r="F100" s="6" t="s">
        <v>105</v>
      </c>
      <c r="G100" s="6">
        <v>4.0</v>
      </c>
      <c r="H100" s="6">
        <v>430.89</v>
      </c>
      <c r="I100" s="6">
        <v>521.0</v>
      </c>
      <c r="J100" s="6">
        <v>5.63</v>
      </c>
      <c r="K100" s="6" t="s">
        <v>24</v>
      </c>
      <c r="L100" s="6" t="s">
        <v>61</v>
      </c>
      <c r="M100" s="6">
        <f t="shared" si="1"/>
        <v>1723.56</v>
      </c>
      <c r="N100" s="6">
        <f t="shared" si="2"/>
        <v>1966.6708</v>
      </c>
      <c r="O100" s="6">
        <f t="shared" si="3"/>
        <v>243.1108</v>
      </c>
      <c r="P100" s="7">
        <f t="shared" si="4"/>
        <v>0.1236154012</v>
      </c>
      <c r="Q100" s="6" t="s">
        <v>40</v>
      </c>
      <c r="R100" s="8">
        <f t="shared" si="5"/>
        <v>117.3292</v>
      </c>
    </row>
    <row r="101" ht="14.25" customHeight="1">
      <c r="A101" s="6" t="s">
        <v>335</v>
      </c>
      <c r="B101" s="6" t="s">
        <v>336</v>
      </c>
      <c r="C101" s="6" t="s">
        <v>337</v>
      </c>
      <c r="D101" s="6" t="s">
        <v>48</v>
      </c>
      <c r="E101" s="6" t="s">
        <v>38</v>
      </c>
      <c r="F101" s="6" t="s">
        <v>71</v>
      </c>
      <c r="G101" s="6">
        <v>2.0</v>
      </c>
      <c r="H101" s="6">
        <v>129.02</v>
      </c>
      <c r="I101" s="6">
        <v>180.06</v>
      </c>
      <c r="J101" s="6">
        <v>14.42</v>
      </c>
      <c r="K101" s="6" t="s">
        <v>44</v>
      </c>
      <c r="L101" s="6" t="s">
        <v>61</v>
      </c>
      <c r="M101" s="6">
        <f t="shared" si="1"/>
        <v>258.04</v>
      </c>
      <c r="N101" s="6">
        <f t="shared" si="2"/>
        <v>308.190696</v>
      </c>
      <c r="O101" s="6">
        <f t="shared" si="3"/>
        <v>50.150696</v>
      </c>
      <c r="P101" s="7">
        <f t="shared" si="4"/>
        <v>0.1627261843</v>
      </c>
      <c r="Q101" s="6" t="s">
        <v>26</v>
      </c>
      <c r="R101" s="8">
        <f t="shared" si="5"/>
        <v>51.929304</v>
      </c>
    </row>
    <row r="102" ht="14.25" customHeight="1">
      <c r="A102" s="6" t="s">
        <v>338</v>
      </c>
      <c r="B102" s="6" t="s">
        <v>150</v>
      </c>
      <c r="C102" s="6" t="s">
        <v>339</v>
      </c>
      <c r="D102" s="6" t="s">
        <v>70</v>
      </c>
      <c r="E102" s="6" t="s">
        <v>38</v>
      </c>
      <c r="F102" s="6" t="s">
        <v>71</v>
      </c>
      <c r="G102" s="6">
        <v>7.0</v>
      </c>
      <c r="H102" s="6">
        <v>170.13</v>
      </c>
      <c r="I102" s="6">
        <v>264.23</v>
      </c>
      <c r="J102" s="6">
        <v>21.6</v>
      </c>
      <c r="K102" s="6" t="s">
        <v>44</v>
      </c>
      <c r="L102" s="6" t="s">
        <v>25</v>
      </c>
      <c r="M102" s="6">
        <f t="shared" si="1"/>
        <v>1190.91</v>
      </c>
      <c r="N102" s="6">
        <f t="shared" si="2"/>
        <v>1450.09424</v>
      </c>
      <c r="O102" s="6">
        <f t="shared" si="3"/>
        <v>259.18424</v>
      </c>
      <c r="P102" s="7">
        <f t="shared" si="4"/>
        <v>0.1787361351</v>
      </c>
      <c r="Q102" s="6" t="s">
        <v>34</v>
      </c>
      <c r="R102" s="8">
        <f t="shared" si="5"/>
        <v>399.51576</v>
      </c>
    </row>
    <row r="103" ht="14.25" customHeight="1">
      <c r="A103" s="6" t="s">
        <v>340</v>
      </c>
      <c r="B103" s="6" t="s">
        <v>341</v>
      </c>
      <c r="C103" s="6" t="s">
        <v>342</v>
      </c>
      <c r="D103" s="6" t="s">
        <v>30</v>
      </c>
      <c r="E103" s="6" t="s">
        <v>38</v>
      </c>
      <c r="F103" s="6" t="s">
        <v>39</v>
      </c>
      <c r="G103" s="6">
        <v>8.0</v>
      </c>
      <c r="H103" s="6">
        <v>403.02</v>
      </c>
      <c r="I103" s="6">
        <v>499.89</v>
      </c>
      <c r="J103" s="6">
        <v>11.51</v>
      </c>
      <c r="K103" s="6" t="s">
        <v>44</v>
      </c>
      <c r="L103" s="6" t="s">
        <v>55</v>
      </c>
      <c r="M103" s="6">
        <f t="shared" si="1"/>
        <v>3224.16</v>
      </c>
      <c r="N103" s="6">
        <f t="shared" si="2"/>
        <v>3538.821288</v>
      </c>
      <c r="O103" s="6">
        <f t="shared" si="3"/>
        <v>314.661288</v>
      </c>
      <c r="P103" s="7">
        <f t="shared" si="4"/>
        <v>0.08891697613</v>
      </c>
      <c r="Q103" s="6" t="s">
        <v>49</v>
      </c>
      <c r="R103" s="8">
        <f t="shared" si="5"/>
        <v>460.298712</v>
      </c>
    </row>
    <row r="104" ht="14.25" customHeight="1">
      <c r="A104" s="6" t="s">
        <v>343</v>
      </c>
      <c r="B104" s="6" t="s">
        <v>344</v>
      </c>
      <c r="C104" s="6" t="s">
        <v>345</v>
      </c>
      <c r="D104" s="6" t="s">
        <v>83</v>
      </c>
      <c r="E104" s="6" t="s">
        <v>65</v>
      </c>
      <c r="F104" s="6" t="s">
        <v>66</v>
      </c>
      <c r="G104" s="6">
        <v>5.0</v>
      </c>
      <c r="H104" s="6">
        <v>138.82</v>
      </c>
      <c r="I104" s="6">
        <v>208.52</v>
      </c>
      <c r="J104" s="6">
        <v>23.97</v>
      </c>
      <c r="K104" s="6" t="s">
        <v>44</v>
      </c>
      <c r="L104" s="6" t="s">
        <v>25</v>
      </c>
      <c r="M104" s="6">
        <f t="shared" si="1"/>
        <v>694.1</v>
      </c>
      <c r="N104" s="6">
        <f t="shared" si="2"/>
        <v>792.68878</v>
      </c>
      <c r="O104" s="6">
        <f t="shared" si="3"/>
        <v>98.58878</v>
      </c>
      <c r="P104" s="7">
        <f t="shared" si="4"/>
        <v>0.1243726195</v>
      </c>
      <c r="Q104" s="6" t="s">
        <v>26</v>
      </c>
      <c r="R104" s="8">
        <f t="shared" si="5"/>
        <v>249.91122</v>
      </c>
    </row>
    <row r="105" ht="14.25" customHeight="1">
      <c r="A105" s="6" t="s">
        <v>346</v>
      </c>
      <c r="B105" s="6" t="s">
        <v>347</v>
      </c>
      <c r="C105" s="6" t="s">
        <v>348</v>
      </c>
      <c r="D105" s="6" t="s">
        <v>48</v>
      </c>
      <c r="E105" s="6" t="s">
        <v>104</v>
      </c>
      <c r="F105" s="6" t="s">
        <v>105</v>
      </c>
      <c r="G105" s="6">
        <v>5.0</v>
      </c>
      <c r="H105" s="6">
        <v>60.01</v>
      </c>
      <c r="I105" s="6">
        <v>87.36</v>
      </c>
      <c r="J105" s="6">
        <v>6.86</v>
      </c>
      <c r="K105" s="6" t="s">
        <v>24</v>
      </c>
      <c r="L105" s="6" t="s">
        <v>33</v>
      </c>
      <c r="M105" s="6">
        <f t="shared" si="1"/>
        <v>300.05</v>
      </c>
      <c r="N105" s="6">
        <f t="shared" si="2"/>
        <v>406.83552</v>
      </c>
      <c r="O105" s="6">
        <f t="shared" si="3"/>
        <v>106.78552</v>
      </c>
      <c r="P105" s="7">
        <f t="shared" si="4"/>
        <v>0.2624783598</v>
      </c>
      <c r="Q105" s="6" t="s">
        <v>34</v>
      </c>
      <c r="R105" s="8">
        <f t="shared" si="5"/>
        <v>29.96448</v>
      </c>
    </row>
    <row r="106" ht="14.25" customHeight="1">
      <c r="A106" s="6" t="s">
        <v>349</v>
      </c>
      <c r="B106" s="6" t="s">
        <v>350</v>
      </c>
      <c r="C106" s="6" t="s">
        <v>348</v>
      </c>
      <c r="D106" s="6" t="s">
        <v>83</v>
      </c>
      <c r="E106" s="6" t="s">
        <v>38</v>
      </c>
      <c r="F106" s="6" t="s">
        <v>71</v>
      </c>
      <c r="G106" s="6">
        <v>1.0</v>
      </c>
      <c r="H106" s="6">
        <v>196.85</v>
      </c>
      <c r="I106" s="6">
        <v>284.31</v>
      </c>
      <c r="J106" s="6">
        <v>12.27</v>
      </c>
      <c r="K106" s="6" t="s">
        <v>44</v>
      </c>
      <c r="L106" s="6" t="s">
        <v>61</v>
      </c>
      <c r="M106" s="6">
        <f t="shared" si="1"/>
        <v>196.85</v>
      </c>
      <c r="N106" s="6">
        <f t="shared" si="2"/>
        <v>249.425163</v>
      </c>
      <c r="O106" s="6">
        <f t="shared" si="3"/>
        <v>52.575163</v>
      </c>
      <c r="P106" s="7">
        <f t="shared" si="4"/>
        <v>0.2107853208</v>
      </c>
      <c r="Q106" s="6" t="s">
        <v>49</v>
      </c>
      <c r="R106" s="8">
        <f t="shared" si="5"/>
        <v>34.884837</v>
      </c>
    </row>
    <row r="107" ht="14.25" customHeight="1">
      <c r="A107" s="6" t="s">
        <v>351</v>
      </c>
      <c r="B107" s="6" t="s">
        <v>352</v>
      </c>
      <c r="C107" s="6" t="s">
        <v>353</v>
      </c>
      <c r="D107" s="6" t="s">
        <v>21</v>
      </c>
      <c r="E107" s="6" t="s">
        <v>87</v>
      </c>
      <c r="F107" s="6" t="s">
        <v>88</v>
      </c>
      <c r="G107" s="6">
        <v>4.0</v>
      </c>
      <c r="H107" s="6">
        <v>171.75</v>
      </c>
      <c r="I107" s="6">
        <v>218.59</v>
      </c>
      <c r="J107" s="6">
        <v>22.93</v>
      </c>
      <c r="K107" s="6" t="s">
        <v>24</v>
      </c>
      <c r="L107" s="6" t="s">
        <v>55</v>
      </c>
      <c r="M107" s="6">
        <f t="shared" si="1"/>
        <v>687</v>
      </c>
      <c r="N107" s="6">
        <f t="shared" si="2"/>
        <v>673.869252</v>
      </c>
      <c r="O107" s="6">
        <f t="shared" si="3"/>
        <v>-13.130748</v>
      </c>
      <c r="P107" s="7">
        <f t="shared" si="4"/>
        <v>-0.01948560193</v>
      </c>
      <c r="Q107" s="6" t="s">
        <v>76</v>
      </c>
      <c r="R107" s="8">
        <f t="shared" si="5"/>
        <v>200.490748</v>
      </c>
    </row>
    <row r="108" ht="14.25" customHeight="1">
      <c r="A108" s="6" t="s">
        <v>354</v>
      </c>
      <c r="B108" s="6" t="s">
        <v>355</v>
      </c>
      <c r="C108" s="6" t="s">
        <v>353</v>
      </c>
      <c r="D108" s="6" t="s">
        <v>83</v>
      </c>
      <c r="E108" s="6" t="s">
        <v>53</v>
      </c>
      <c r="F108" s="6" t="s">
        <v>54</v>
      </c>
      <c r="G108" s="6">
        <v>5.0</v>
      </c>
      <c r="H108" s="6">
        <v>77.85</v>
      </c>
      <c r="I108" s="6">
        <v>99.43</v>
      </c>
      <c r="J108" s="6">
        <v>9.54</v>
      </c>
      <c r="K108" s="6" t="s">
        <v>24</v>
      </c>
      <c r="L108" s="6" t="s">
        <v>61</v>
      </c>
      <c r="M108" s="6">
        <f t="shared" si="1"/>
        <v>389.25</v>
      </c>
      <c r="N108" s="6">
        <f t="shared" si="2"/>
        <v>449.72189</v>
      </c>
      <c r="O108" s="6">
        <f t="shared" si="3"/>
        <v>60.47189</v>
      </c>
      <c r="P108" s="7">
        <f t="shared" si="4"/>
        <v>0.1344650802</v>
      </c>
      <c r="Q108" s="6" t="s">
        <v>34</v>
      </c>
      <c r="R108" s="8">
        <f t="shared" si="5"/>
        <v>47.42811</v>
      </c>
    </row>
    <row r="109" ht="14.25" customHeight="1">
      <c r="A109" s="6" t="s">
        <v>356</v>
      </c>
      <c r="B109" s="6" t="s">
        <v>357</v>
      </c>
      <c r="C109" s="6" t="s">
        <v>358</v>
      </c>
      <c r="D109" s="6" t="s">
        <v>48</v>
      </c>
      <c r="E109" s="6" t="s">
        <v>31</v>
      </c>
      <c r="F109" s="6" t="s">
        <v>32</v>
      </c>
      <c r="G109" s="6">
        <v>6.0</v>
      </c>
      <c r="H109" s="6">
        <v>251.56</v>
      </c>
      <c r="I109" s="6">
        <v>320.48</v>
      </c>
      <c r="J109" s="6">
        <v>23.19</v>
      </c>
      <c r="K109" s="6" t="s">
        <v>24</v>
      </c>
      <c r="L109" s="6" t="s">
        <v>55</v>
      </c>
      <c r="M109" s="6">
        <f t="shared" si="1"/>
        <v>1509.36</v>
      </c>
      <c r="N109" s="6">
        <f t="shared" si="2"/>
        <v>1476.964128</v>
      </c>
      <c r="O109" s="6">
        <f t="shared" si="3"/>
        <v>-32.395872</v>
      </c>
      <c r="P109" s="7">
        <f t="shared" si="4"/>
        <v>-0.02193409534</v>
      </c>
      <c r="Q109" s="6" t="s">
        <v>26</v>
      </c>
      <c r="R109" s="8">
        <f t="shared" si="5"/>
        <v>445.915872</v>
      </c>
    </row>
    <row r="110" ht="14.25" customHeight="1">
      <c r="A110" s="6" t="s">
        <v>359</v>
      </c>
      <c r="B110" s="6" t="s">
        <v>360</v>
      </c>
      <c r="C110" s="6" t="s">
        <v>358</v>
      </c>
      <c r="D110" s="6" t="s">
        <v>21</v>
      </c>
      <c r="E110" s="6" t="s">
        <v>38</v>
      </c>
      <c r="F110" s="6" t="s">
        <v>71</v>
      </c>
      <c r="G110" s="6">
        <v>7.0</v>
      </c>
      <c r="H110" s="6">
        <v>320.04</v>
      </c>
      <c r="I110" s="6">
        <v>588.52</v>
      </c>
      <c r="J110" s="6">
        <v>5.3</v>
      </c>
      <c r="K110" s="6" t="s">
        <v>24</v>
      </c>
      <c r="L110" s="6" t="s">
        <v>33</v>
      </c>
      <c r="M110" s="6">
        <f t="shared" si="1"/>
        <v>2240.28</v>
      </c>
      <c r="N110" s="6">
        <f t="shared" si="2"/>
        <v>3901.29908</v>
      </c>
      <c r="O110" s="6">
        <f t="shared" si="3"/>
        <v>1661.01908</v>
      </c>
      <c r="P110" s="7">
        <f t="shared" si="4"/>
        <v>0.4257605085</v>
      </c>
      <c r="Q110" s="6" t="s">
        <v>26</v>
      </c>
      <c r="R110" s="8">
        <f t="shared" si="5"/>
        <v>218.34092</v>
      </c>
    </row>
    <row r="111" ht="14.25" customHeight="1">
      <c r="A111" s="6" t="s">
        <v>361</v>
      </c>
      <c r="B111" s="6" t="s">
        <v>362</v>
      </c>
      <c r="C111" s="6" t="s">
        <v>363</v>
      </c>
      <c r="D111" s="6" t="s">
        <v>70</v>
      </c>
      <c r="E111" s="6" t="s">
        <v>38</v>
      </c>
      <c r="F111" s="6" t="s">
        <v>71</v>
      </c>
      <c r="G111" s="6">
        <v>7.0</v>
      </c>
      <c r="H111" s="6">
        <v>110.7</v>
      </c>
      <c r="I111" s="6">
        <v>181.11</v>
      </c>
      <c r="J111" s="6">
        <v>15.13</v>
      </c>
      <c r="K111" s="6" t="s">
        <v>24</v>
      </c>
      <c r="L111" s="6" t="s">
        <v>61</v>
      </c>
      <c r="M111" s="6">
        <f t="shared" si="1"/>
        <v>774.9</v>
      </c>
      <c r="N111" s="6">
        <f t="shared" si="2"/>
        <v>1075.956399</v>
      </c>
      <c r="O111" s="6">
        <f t="shared" si="3"/>
        <v>301.056399</v>
      </c>
      <c r="P111" s="7">
        <f t="shared" si="4"/>
        <v>0.2798035304</v>
      </c>
      <c r="Q111" s="6" t="s">
        <v>76</v>
      </c>
      <c r="R111" s="8">
        <f t="shared" si="5"/>
        <v>191.813601</v>
      </c>
    </row>
    <row r="112" ht="14.25" customHeight="1">
      <c r="A112" s="6" t="s">
        <v>364</v>
      </c>
      <c r="B112" s="6" t="s">
        <v>365</v>
      </c>
      <c r="C112" s="6" t="s">
        <v>366</v>
      </c>
      <c r="D112" s="6" t="s">
        <v>83</v>
      </c>
      <c r="E112" s="6" t="s">
        <v>38</v>
      </c>
      <c r="F112" s="6" t="s">
        <v>39</v>
      </c>
      <c r="G112" s="6">
        <v>6.0</v>
      </c>
      <c r="H112" s="6">
        <v>209.26</v>
      </c>
      <c r="I112" s="6">
        <v>343.82</v>
      </c>
      <c r="J112" s="6">
        <v>11.3</v>
      </c>
      <c r="K112" s="6" t="s">
        <v>24</v>
      </c>
      <c r="L112" s="6" t="s">
        <v>25</v>
      </c>
      <c r="M112" s="6">
        <f t="shared" si="1"/>
        <v>1255.56</v>
      </c>
      <c r="N112" s="6">
        <f t="shared" si="2"/>
        <v>1829.81004</v>
      </c>
      <c r="O112" s="6">
        <f t="shared" si="3"/>
        <v>574.25004</v>
      </c>
      <c r="P112" s="7">
        <f t="shared" si="4"/>
        <v>0.3138304127</v>
      </c>
      <c r="Q112" s="6" t="s">
        <v>49</v>
      </c>
      <c r="R112" s="8">
        <f t="shared" si="5"/>
        <v>233.10996</v>
      </c>
    </row>
    <row r="113" ht="14.25" customHeight="1">
      <c r="A113" s="6" t="s">
        <v>367</v>
      </c>
      <c r="B113" s="6" t="s">
        <v>368</v>
      </c>
      <c r="C113" s="6" t="s">
        <v>369</v>
      </c>
      <c r="D113" s="6" t="s">
        <v>30</v>
      </c>
      <c r="E113" s="6" t="s">
        <v>38</v>
      </c>
      <c r="F113" s="6" t="s">
        <v>71</v>
      </c>
      <c r="G113" s="6">
        <v>2.0</v>
      </c>
      <c r="H113" s="6">
        <v>70.01</v>
      </c>
      <c r="I113" s="6">
        <v>119.88</v>
      </c>
      <c r="J113" s="6">
        <v>2.34</v>
      </c>
      <c r="K113" s="6" t="s">
        <v>24</v>
      </c>
      <c r="L113" s="6" t="s">
        <v>61</v>
      </c>
      <c r="M113" s="6">
        <f t="shared" si="1"/>
        <v>140.02</v>
      </c>
      <c r="N113" s="6">
        <f t="shared" si="2"/>
        <v>234.149616</v>
      </c>
      <c r="O113" s="6">
        <f t="shared" si="3"/>
        <v>94.129616</v>
      </c>
      <c r="P113" s="7">
        <f t="shared" si="4"/>
        <v>0.4020062796</v>
      </c>
      <c r="Q113" s="6" t="s">
        <v>49</v>
      </c>
      <c r="R113" s="8">
        <f t="shared" si="5"/>
        <v>5.610384</v>
      </c>
    </row>
    <row r="114" ht="14.25" customHeight="1">
      <c r="A114" s="6" t="s">
        <v>370</v>
      </c>
      <c r="B114" s="6" t="s">
        <v>371</v>
      </c>
      <c r="C114" s="6" t="s">
        <v>372</v>
      </c>
      <c r="D114" s="6" t="s">
        <v>30</v>
      </c>
      <c r="E114" s="6" t="s">
        <v>104</v>
      </c>
      <c r="F114" s="6" t="s">
        <v>105</v>
      </c>
      <c r="G114" s="6">
        <v>2.0</v>
      </c>
      <c r="H114" s="6">
        <v>240.44</v>
      </c>
      <c r="I114" s="6">
        <v>333.54</v>
      </c>
      <c r="J114" s="6">
        <v>4.42</v>
      </c>
      <c r="K114" s="6" t="s">
        <v>24</v>
      </c>
      <c r="L114" s="6" t="s">
        <v>55</v>
      </c>
      <c r="M114" s="6">
        <f t="shared" si="1"/>
        <v>480.88</v>
      </c>
      <c r="N114" s="6">
        <f t="shared" si="2"/>
        <v>637.595064</v>
      </c>
      <c r="O114" s="6">
        <f t="shared" si="3"/>
        <v>156.715064</v>
      </c>
      <c r="P114" s="7">
        <f t="shared" si="4"/>
        <v>0.245790899</v>
      </c>
      <c r="Q114" s="6" t="s">
        <v>76</v>
      </c>
      <c r="R114" s="8">
        <f t="shared" si="5"/>
        <v>29.484936</v>
      </c>
    </row>
    <row r="115" ht="14.25" customHeight="1">
      <c r="A115" s="6" t="s">
        <v>373</v>
      </c>
      <c r="B115" s="6" t="s">
        <v>374</v>
      </c>
      <c r="C115" s="6" t="s">
        <v>375</v>
      </c>
      <c r="D115" s="6" t="s">
        <v>30</v>
      </c>
      <c r="E115" s="6" t="s">
        <v>65</v>
      </c>
      <c r="F115" s="6" t="s">
        <v>75</v>
      </c>
      <c r="G115" s="6">
        <v>6.0</v>
      </c>
      <c r="H115" s="6">
        <v>242.05</v>
      </c>
      <c r="I115" s="6">
        <v>354.07</v>
      </c>
      <c r="J115" s="6">
        <v>17.4</v>
      </c>
      <c r="K115" s="6" t="s">
        <v>44</v>
      </c>
      <c r="L115" s="6" t="s">
        <v>61</v>
      </c>
      <c r="M115" s="6">
        <f t="shared" si="1"/>
        <v>1452.3</v>
      </c>
      <c r="N115" s="6">
        <f t="shared" si="2"/>
        <v>1754.77092</v>
      </c>
      <c r="O115" s="6">
        <f t="shared" si="3"/>
        <v>302.47092</v>
      </c>
      <c r="P115" s="7">
        <f t="shared" si="4"/>
        <v>0.1723706021</v>
      </c>
      <c r="Q115" s="6" t="s">
        <v>26</v>
      </c>
      <c r="R115" s="8">
        <f t="shared" si="5"/>
        <v>369.64908</v>
      </c>
    </row>
    <row r="116" ht="14.25" customHeight="1">
      <c r="A116" s="6" t="s">
        <v>376</v>
      </c>
      <c r="B116" s="6" t="s">
        <v>377</v>
      </c>
      <c r="C116" s="6" t="s">
        <v>378</v>
      </c>
      <c r="D116" s="6" t="s">
        <v>83</v>
      </c>
      <c r="E116" s="6" t="s">
        <v>87</v>
      </c>
      <c r="F116" s="6" t="s">
        <v>88</v>
      </c>
      <c r="G116" s="6">
        <v>6.0</v>
      </c>
      <c r="H116" s="6">
        <v>335.21</v>
      </c>
      <c r="I116" s="6">
        <v>587.29</v>
      </c>
      <c r="J116" s="6">
        <v>3.18</v>
      </c>
      <c r="K116" s="6" t="s">
        <v>44</v>
      </c>
      <c r="L116" s="6" t="s">
        <v>25</v>
      </c>
      <c r="M116" s="6">
        <f t="shared" si="1"/>
        <v>2011.26</v>
      </c>
      <c r="N116" s="6">
        <f t="shared" si="2"/>
        <v>3411.685068</v>
      </c>
      <c r="O116" s="6">
        <f t="shared" si="3"/>
        <v>1400.425068</v>
      </c>
      <c r="P116" s="7">
        <f t="shared" si="4"/>
        <v>0.4104789979</v>
      </c>
      <c r="Q116" s="6" t="s">
        <v>34</v>
      </c>
      <c r="R116" s="8">
        <f t="shared" si="5"/>
        <v>112.054932</v>
      </c>
    </row>
    <row r="117" ht="14.25" customHeight="1">
      <c r="A117" s="6" t="s">
        <v>379</v>
      </c>
      <c r="B117" s="6" t="s">
        <v>309</v>
      </c>
      <c r="C117" s="6" t="s">
        <v>380</v>
      </c>
      <c r="D117" s="6" t="s">
        <v>30</v>
      </c>
      <c r="E117" s="6" t="s">
        <v>104</v>
      </c>
      <c r="F117" s="6" t="s">
        <v>105</v>
      </c>
      <c r="G117" s="6">
        <v>8.0</v>
      </c>
      <c r="H117" s="6">
        <v>91.38</v>
      </c>
      <c r="I117" s="6">
        <v>127.53</v>
      </c>
      <c r="J117" s="6">
        <v>23.27</v>
      </c>
      <c r="K117" s="6" t="s">
        <v>24</v>
      </c>
      <c r="L117" s="6" t="s">
        <v>33</v>
      </c>
      <c r="M117" s="6">
        <f t="shared" si="1"/>
        <v>731.04</v>
      </c>
      <c r="N117" s="6">
        <f t="shared" si="2"/>
        <v>782.830152</v>
      </c>
      <c r="O117" s="6">
        <f t="shared" si="3"/>
        <v>51.790152</v>
      </c>
      <c r="P117" s="7">
        <f t="shared" si="4"/>
        <v>0.06615758459</v>
      </c>
      <c r="Q117" s="6" t="s">
        <v>26</v>
      </c>
      <c r="R117" s="8">
        <f t="shared" si="5"/>
        <v>237.409848</v>
      </c>
    </row>
    <row r="118" ht="14.25" customHeight="1">
      <c r="A118" s="6" t="s">
        <v>381</v>
      </c>
      <c r="B118" s="6" t="s">
        <v>382</v>
      </c>
      <c r="C118" s="6" t="s">
        <v>383</v>
      </c>
      <c r="D118" s="6" t="s">
        <v>30</v>
      </c>
      <c r="E118" s="6" t="s">
        <v>87</v>
      </c>
      <c r="F118" s="6" t="s">
        <v>88</v>
      </c>
      <c r="G118" s="6">
        <v>2.0</v>
      </c>
      <c r="H118" s="6">
        <v>64.26</v>
      </c>
      <c r="I118" s="6">
        <v>103.55</v>
      </c>
      <c r="J118" s="6">
        <v>1.59</v>
      </c>
      <c r="K118" s="6" t="s">
        <v>24</v>
      </c>
      <c r="L118" s="6" t="s">
        <v>25</v>
      </c>
      <c r="M118" s="6">
        <f t="shared" si="1"/>
        <v>128.52</v>
      </c>
      <c r="N118" s="6">
        <f t="shared" si="2"/>
        <v>203.80711</v>
      </c>
      <c r="O118" s="6">
        <f t="shared" si="3"/>
        <v>75.28711</v>
      </c>
      <c r="P118" s="7">
        <f t="shared" si="4"/>
        <v>0.3694037465</v>
      </c>
      <c r="Q118" s="6" t="s">
        <v>40</v>
      </c>
      <c r="R118" s="8">
        <f t="shared" si="5"/>
        <v>3.29289</v>
      </c>
    </row>
    <row r="119" ht="14.25" customHeight="1">
      <c r="A119" s="6" t="s">
        <v>384</v>
      </c>
      <c r="B119" s="6" t="s">
        <v>385</v>
      </c>
      <c r="C119" s="6" t="s">
        <v>386</v>
      </c>
      <c r="D119" s="6" t="s">
        <v>30</v>
      </c>
      <c r="E119" s="6" t="s">
        <v>31</v>
      </c>
      <c r="F119" s="6" t="s">
        <v>32</v>
      </c>
      <c r="G119" s="6">
        <v>2.0</v>
      </c>
      <c r="H119" s="6">
        <v>284.69</v>
      </c>
      <c r="I119" s="6">
        <v>405.18</v>
      </c>
      <c r="J119" s="6">
        <v>2.14</v>
      </c>
      <c r="K119" s="6" t="s">
        <v>24</v>
      </c>
      <c r="L119" s="6" t="s">
        <v>55</v>
      </c>
      <c r="M119" s="6">
        <f t="shared" si="1"/>
        <v>569.38</v>
      </c>
      <c r="N119" s="6">
        <f t="shared" si="2"/>
        <v>793.018296</v>
      </c>
      <c r="O119" s="6">
        <f t="shared" si="3"/>
        <v>223.638296</v>
      </c>
      <c r="P119" s="7">
        <f t="shared" si="4"/>
        <v>0.2820089992</v>
      </c>
      <c r="Q119" s="6" t="s">
        <v>49</v>
      </c>
      <c r="R119" s="8">
        <f t="shared" si="5"/>
        <v>17.341704</v>
      </c>
    </row>
    <row r="120" ht="14.25" customHeight="1">
      <c r="A120" s="6" t="s">
        <v>387</v>
      </c>
      <c r="B120" s="6" t="s">
        <v>333</v>
      </c>
      <c r="C120" s="6" t="s">
        <v>388</v>
      </c>
      <c r="D120" s="6" t="s">
        <v>30</v>
      </c>
      <c r="E120" s="6" t="s">
        <v>53</v>
      </c>
      <c r="F120" s="6" t="s">
        <v>54</v>
      </c>
      <c r="G120" s="6">
        <v>2.0</v>
      </c>
      <c r="H120" s="6">
        <v>354.12</v>
      </c>
      <c r="I120" s="6">
        <v>507.41</v>
      </c>
      <c r="J120" s="6">
        <v>17.26</v>
      </c>
      <c r="K120" s="6" t="s">
        <v>44</v>
      </c>
      <c r="L120" s="6" t="s">
        <v>33</v>
      </c>
      <c r="M120" s="6">
        <f t="shared" si="1"/>
        <v>708.24</v>
      </c>
      <c r="N120" s="6">
        <f t="shared" si="2"/>
        <v>839.662068</v>
      </c>
      <c r="O120" s="6">
        <f t="shared" si="3"/>
        <v>131.422068</v>
      </c>
      <c r="P120" s="7">
        <f t="shared" si="4"/>
        <v>0.15651781</v>
      </c>
      <c r="Q120" s="6" t="s">
        <v>26</v>
      </c>
      <c r="R120" s="8">
        <f t="shared" si="5"/>
        <v>175.157932</v>
      </c>
    </row>
    <row r="121" ht="14.25" customHeight="1">
      <c r="A121" s="6" t="s">
        <v>389</v>
      </c>
      <c r="B121" s="6" t="s">
        <v>390</v>
      </c>
      <c r="C121" s="6" t="s">
        <v>391</v>
      </c>
      <c r="D121" s="6" t="s">
        <v>30</v>
      </c>
      <c r="E121" s="6" t="s">
        <v>38</v>
      </c>
      <c r="F121" s="6" t="s">
        <v>71</v>
      </c>
      <c r="G121" s="6">
        <v>1.0</v>
      </c>
      <c r="H121" s="6">
        <v>147.61</v>
      </c>
      <c r="I121" s="6">
        <v>203.99</v>
      </c>
      <c r="J121" s="6">
        <v>15.57</v>
      </c>
      <c r="K121" s="6" t="s">
        <v>24</v>
      </c>
      <c r="L121" s="6" t="s">
        <v>25</v>
      </c>
      <c r="M121" s="6">
        <f t="shared" si="1"/>
        <v>147.61</v>
      </c>
      <c r="N121" s="6">
        <f t="shared" si="2"/>
        <v>172.228757</v>
      </c>
      <c r="O121" s="6">
        <f t="shared" si="3"/>
        <v>24.618757</v>
      </c>
      <c r="P121" s="7">
        <f t="shared" si="4"/>
        <v>0.1429421975</v>
      </c>
      <c r="Q121" s="6" t="s">
        <v>26</v>
      </c>
      <c r="R121" s="8">
        <f t="shared" si="5"/>
        <v>31.761243</v>
      </c>
    </row>
    <row r="122" ht="14.25" customHeight="1">
      <c r="A122" s="6" t="s">
        <v>392</v>
      </c>
      <c r="B122" s="6" t="s">
        <v>393</v>
      </c>
      <c r="C122" s="6" t="s">
        <v>394</v>
      </c>
      <c r="D122" s="6" t="s">
        <v>21</v>
      </c>
      <c r="E122" s="6" t="s">
        <v>59</v>
      </c>
      <c r="F122" s="6" t="s">
        <v>60</v>
      </c>
      <c r="G122" s="6">
        <v>1.0</v>
      </c>
      <c r="H122" s="6">
        <v>367.35</v>
      </c>
      <c r="I122" s="6">
        <v>594.43</v>
      </c>
      <c r="J122" s="6">
        <v>4.8</v>
      </c>
      <c r="K122" s="6" t="s">
        <v>44</v>
      </c>
      <c r="L122" s="6" t="s">
        <v>33</v>
      </c>
      <c r="M122" s="6">
        <f t="shared" si="1"/>
        <v>367.35</v>
      </c>
      <c r="N122" s="6">
        <f t="shared" si="2"/>
        <v>565.89736</v>
      </c>
      <c r="O122" s="6">
        <f t="shared" si="3"/>
        <v>198.54736</v>
      </c>
      <c r="P122" s="7">
        <f t="shared" si="4"/>
        <v>0.3508540135</v>
      </c>
      <c r="Q122" s="6" t="s">
        <v>76</v>
      </c>
      <c r="R122" s="8">
        <f t="shared" si="5"/>
        <v>28.53264</v>
      </c>
    </row>
    <row r="123" ht="14.25" customHeight="1">
      <c r="A123" s="6" t="s">
        <v>395</v>
      </c>
      <c r="B123" s="6" t="s">
        <v>396</v>
      </c>
      <c r="C123" s="6" t="s">
        <v>397</v>
      </c>
      <c r="D123" s="6" t="s">
        <v>83</v>
      </c>
      <c r="E123" s="6" t="s">
        <v>65</v>
      </c>
      <c r="F123" s="6" t="s">
        <v>66</v>
      </c>
      <c r="G123" s="6">
        <v>8.0</v>
      </c>
      <c r="H123" s="6">
        <v>360.46</v>
      </c>
      <c r="I123" s="6">
        <v>547.8</v>
      </c>
      <c r="J123" s="6">
        <v>6.2</v>
      </c>
      <c r="K123" s="6" t="s">
        <v>44</v>
      </c>
      <c r="L123" s="6" t="s">
        <v>33</v>
      </c>
      <c r="M123" s="6">
        <f t="shared" si="1"/>
        <v>2883.68</v>
      </c>
      <c r="N123" s="6">
        <f t="shared" si="2"/>
        <v>4110.6912</v>
      </c>
      <c r="O123" s="6">
        <f t="shared" si="3"/>
        <v>1227.0112</v>
      </c>
      <c r="P123" s="7">
        <f t="shared" si="4"/>
        <v>0.298492672</v>
      </c>
      <c r="Q123" s="6" t="s">
        <v>26</v>
      </c>
      <c r="R123" s="8">
        <f t="shared" si="5"/>
        <v>271.7088</v>
      </c>
    </row>
    <row r="124" ht="14.25" customHeight="1">
      <c r="A124" s="6" t="s">
        <v>398</v>
      </c>
      <c r="B124" s="6" t="s">
        <v>399</v>
      </c>
      <c r="C124" s="6" t="s">
        <v>400</v>
      </c>
      <c r="D124" s="6" t="s">
        <v>83</v>
      </c>
      <c r="E124" s="6" t="s">
        <v>65</v>
      </c>
      <c r="F124" s="6" t="s">
        <v>66</v>
      </c>
      <c r="G124" s="6">
        <v>6.0</v>
      </c>
      <c r="H124" s="6">
        <v>430.32</v>
      </c>
      <c r="I124" s="6">
        <v>546.72</v>
      </c>
      <c r="J124" s="6">
        <v>18.96</v>
      </c>
      <c r="K124" s="6" t="s">
        <v>24</v>
      </c>
      <c r="L124" s="6" t="s">
        <v>33</v>
      </c>
      <c r="M124" s="6">
        <f t="shared" si="1"/>
        <v>2581.92</v>
      </c>
      <c r="N124" s="6">
        <f t="shared" si="2"/>
        <v>2658.371328</v>
      </c>
      <c r="O124" s="6">
        <f t="shared" si="3"/>
        <v>76.451328</v>
      </c>
      <c r="P124" s="7">
        <f t="shared" si="4"/>
        <v>0.02875870921</v>
      </c>
      <c r="Q124" s="6" t="s">
        <v>49</v>
      </c>
      <c r="R124" s="8">
        <f t="shared" si="5"/>
        <v>621.948672</v>
      </c>
    </row>
    <row r="125" ht="14.25" customHeight="1">
      <c r="A125" s="6" t="s">
        <v>401</v>
      </c>
      <c r="B125" s="6" t="s">
        <v>402</v>
      </c>
      <c r="C125" s="6" t="s">
        <v>403</v>
      </c>
      <c r="D125" s="6" t="s">
        <v>21</v>
      </c>
      <c r="E125" s="6" t="s">
        <v>22</v>
      </c>
      <c r="F125" s="6" t="s">
        <v>23</v>
      </c>
      <c r="G125" s="6">
        <v>5.0</v>
      </c>
      <c r="H125" s="6">
        <v>198.11</v>
      </c>
      <c r="I125" s="6">
        <v>315.03</v>
      </c>
      <c r="J125" s="6">
        <v>16.83</v>
      </c>
      <c r="K125" s="6" t="s">
        <v>24</v>
      </c>
      <c r="L125" s="6" t="s">
        <v>25</v>
      </c>
      <c r="M125" s="6">
        <f t="shared" si="1"/>
        <v>990.55</v>
      </c>
      <c r="N125" s="6">
        <f t="shared" si="2"/>
        <v>1310.052255</v>
      </c>
      <c r="O125" s="6">
        <f t="shared" si="3"/>
        <v>319.502255</v>
      </c>
      <c r="P125" s="7">
        <f t="shared" si="4"/>
        <v>0.2438851227</v>
      </c>
      <c r="Q125" s="6" t="s">
        <v>49</v>
      </c>
      <c r="R125" s="8">
        <f t="shared" si="5"/>
        <v>265.097745</v>
      </c>
    </row>
    <row r="126" ht="14.25" customHeight="1">
      <c r="A126" s="6" t="s">
        <v>404</v>
      </c>
      <c r="B126" s="6" t="s">
        <v>405</v>
      </c>
      <c r="C126" s="6" t="s">
        <v>406</v>
      </c>
      <c r="D126" s="6" t="s">
        <v>83</v>
      </c>
      <c r="E126" s="6" t="s">
        <v>38</v>
      </c>
      <c r="F126" s="6" t="s">
        <v>71</v>
      </c>
      <c r="G126" s="6">
        <v>4.0</v>
      </c>
      <c r="H126" s="6">
        <v>325.22</v>
      </c>
      <c r="I126" s="6">
        <v>586.64</v>
      </c>
      <c r="J126" s="6">
        <v>8.17</v>
      </c>
      <c r="K126" s="6" t="s">
        <v>24</v>
      </c>
      <c r="L126" s="6" t="s">
        <v>33</v>
      </c>
      <c r="M126" s="6">
        <f t="shared" si="1"/>
        <v>1300.88</v>
      </c>
      <c r="N126" s="6">
        <f t="shared" si="2"/>
        <v>2154.846048</v>
      </c>
      <c r="O126" s="6">
        <f t="shared" si="3"/>
        <v>853.966048</v>
      </c>
      <c r="P126" s="7">
        <f t="shared" si="4"/>
        <v>0.3963002595</v>
      </c>
      <c r="Q126" s="6" t="s">
        <v>49</v>
      </c>
      <c r="R126" s="8">
        <f t="shared" si="5"/>
        <v>191.713952</v>
      </c>
    </row>
    <row r="127" ht="14.25" customHeight="1">
      <c r="A127" s="6" t="s">
        <v>407</v>
      </c>
      <c r="B127" s="6" t="s">
        <v>408</v>
      </c>
      <c r="C127" s="6" t="s">
        <v>409</v>
      </c>
      <c r="D127" s="6" t="s">
        <v>30</v>
      </c>
      <c r="E127" s="6" t="s">
        <v>59</v>
      </c>
      <c r="F127" s="6" t="s">
        <v>60</v>
      </c>
      <c r="G127" s="6">
        <v>8.0</v>
      </c>
      <c r="H127" s="6">
        <v>352.68</v>
      </c>
      <c r="I127" s="6">
        <v>455.1</v>
      </c>
      <c r="J127" s="6">
        <v>11.96</v>
      </c>
      <c r="K127" s="6" t="s">
        <v>24</v>
      </c>
      <c r="L127" s="6" t="s">
        <v>55</v>
      </c>
      <c r="M127" s="6">
        <f t="shared" si="1"/>
        <v>2821.44</v>
      </c>
      <c r="N127" s="6">
        <f t="shared" si="2"/>
        <v>3205.36032</v>
      </c>
      <c r="O127" s="6">
        <f t="shared" si="3"/>
        <v>383.92032</v>
      </c>
      <c r="P127" s="7">
        <f t="shared" si="4"/>
        <v>0.1197744658</v>
      </c>
      <c r="Q127" s="6" t="s">
        <v>76</v>
      </c>
      <c r="R127" s="8">
        <f t="shared" si="5"/>
        <v>435.43968</v>
      </c>
    </row>
    <row r="128" ht="14.25" customHeight="1">
      <c r="A128" s="6" t="s">
        <v>410</v>
      </c>
      <c r="B128" s="6" t="s">
        <v>411</v>
      </c>
      <c r="C128" s="6" t="s">
        <v>412</v>
      </c>
      <c r="D128" s="6" t="s">
        <v>30</v>
      </c>
      <c r="E128" s="6" t="s">
        <v>104</v>
      </c>
      <c r="F128" s="6" t="s">
        <v>105</v>
      </c>
      <c r="G128" s="6">
        <v>8.0</v>
      </c>
      <c r="H128" s="6">
        <v>443.55</v>
      </c>
      <c r="I128" s="6">
        <v>576.32</v>
      </c>
      <c r="J128" s="6">
        <v>0.42</v>
      </c>
      <c r="K128" s="6" t="s">
        <v>24</v>
      </c>
      <c r="L128" s="6" t="s">
        <v>33</v>
      </c>
      <c r="M128" s="6">
        <f t="shared" si="1"/>
        <v>3548.4</v>
      </c>
      <c r="N128" s="6">
        <f t="shared" si="2"/>
        <v>4591.195648</v>
      </c>
      <c r="O128" s="6">
        <f t="shared" si="3"/>
        <v>1042.795648</v>
      </c>
      <c r="P128" s="7">
        <f t="shared" si="4"/>
        <v>0.2271294294</v>
      </c>
      <c r="Q128" s="6" t="s">
        <v>49</v>
      </c>
      <c r="R128" s="8">
        <f t="shared" si="5"/>
        <v>19.364352</v>
      </c>
    </row>
    <row r="129" ht="14.25" customHeight="1">
      <c r="A129" s="6" t="s">
        <v>413</v>
      </c>
      <c r="B129" s="6" t="s">
        <v>414</v>
      </c>
      <c r="C129" s="6" t="s">
        <v>415</v>
      </c>
      <c r="D129" s="6" t="s">
        <v>64</v>
      </c>
      <c r="E129" s="6" t="s">
        <v>31</v>
      </c>
      <c r="F129" s="6" t="s">
        <v>32</v>
      </c>
      <c r="G129" s="6">
        <v>6.0</v>
      </c>
      <c r="H129" s="6">
        <v>380.92</v>
      </c>
      <c r="I129" s="6">
        <v>529.41</v>
      </c>
      <c r="J129" s="6">
        <v>3.77</v>
      </c>
      <c r="K129" s="6" t="s">
        <v>24</v>
      </c>
      <c r="L129" s="6" t="s">
        <v>55</v>
      </c>
      <c r="M129" s="6">
        <f t="shared" si="1"/>
        <v>2285.52</v>
      </c>
      <c r="N129" s="6">
        <f t="shared" si="2"/>
        <v>3056.707458</v>
      </c>
      <c r="O129" s="6">
        <f t="shared" si="3"/>
        <v>771.187458</v>
      </c>
      <c r="P129" s="7">
        <f t="shared" si="4"/>
        <v>0.2522935114</v>
      </c>
      <c r="Q129" s="6" t="s">
        <v>40</v>
      </c>
      <c r="R129" s="8">
        <f t="shared" si="5"/>
        <v>119.752542</v>
      </c>
    </row>
    <row r="130" ht="14.25" customHeight="1">
      <c r="A130" s="6" t="s">
        <v>416</v>
      </c>
      <c r="B130" s="6" t="s">
        <v>417</v>
      </c>
      <c r="C130" s="6" t="s">
        <v>418</v>
      </c>
      <c r="D130" s="6" t="s">
        <v>48</v>
      </c>
      <c r="E130" s="6" t="s">
        <v>31</v>
      </c>
      <c r="F130" s="6" t="s">
        <v>32</v>
      </c>
      <c r="G130" s="6">
        <v>3.0</v>
      </c>
      <c r="H130" s="6">
        <v>74.27</v>
      </c>
      <c r="I130" s="6">
        <v>109.58</v>
      </c>
      <c r="J130" s="6">
        <v>21.28</v>
      </c>
      <c r="K130" s="6" t="s">
        <v>44</v>
      </c>
      <c r="L130" s="6" t="s">
        <v>33</v>
      </c>
      <c r="M130" s="6">
        <f t="shared" si="1"/>
        <v>222.81</v>
      </c>
      <c r="N130" s="6">
        <f t="shared" si="2"/>
        <v>258.784128</v>
      </c>
      <c r="O130" s="6">
        <f t="shared" si="3"/>
        <v>35.974128</v>
      </c>
      <c r="P130" s="7">
        <f t="shared" si="4"/>
        <v>0.1390121113</v>
      </c>
      <c r="Q130" s="6" t="s">
        <v>34</v>
      </c>
      <c r="R130" s="8">
        <f t="shared" si="5"/>
        <v>69.955872</v>
      </c>
    </row>
    <row r="131" ht="14.25" customHeight="1">
      <c r="A131" s="6" t="s">
        <v>419</v>
      </c>
      <c r="B131" s="6" t="s">
        <v>420</v>
      </c>
      <c r="C131" s="6" t="s">
        <v>421</v>
      </c>
      <c r="D131" s="6" t="s">
        <v>64</v>
      </c>
      <c r="E131" s="6" t="s">
        <v>38</v>
      </c>
      <c r="F131" s="6" t="s">
        <v>71</v>
      </c>
      <c r="G131" s="6">
        <v>7.0</v>
      </c>
      <c r="H131" s="6">
        <v>132.36</v>
      </c>
      <c r="I131" s="6">
        <v>227.59</v>
      </c>
      <c r="J131" s="6">
        <v>16.49</v>
      </c>
      <c r="K131" s="6" t="s">
        <v>44</v>
      </c>
      <c r="L131" s="6" t="s">
        <v>55</v>
      </c>
      <c r="M131" s="6">
        <f t="shared" si="1"/>
        <v>926.52</v>
      </c>
      <c r="N131" s="6">
        <f t="shared" si="2"/>
        <v>1330.422863</v>
      </c>
      <c r="O131" s="6">
        <f t="shared" si="3"/>
        <v>403.902863</v>
      </c>
      <c r="P131" s="7">
        <f t="shared" si="4"/>
        <v>0.3035898392</v>
      </c>
      <c r="Q131" s="6" t="s">
        <v>26</v>
      </c>
      <c r="R131" s="8">
        <f t="shared" si="5"/>
        <v>262.707137</v>
      </c>
    </row>
    <row r="132" ht="14.25" customHeight="1">
      <c r="A132" s="6" t="s">
        <v>422</v>
      </c>
      <c r="B132" s="6" t="s">
        <v>423</v>
      </c>
      <c r="C132" s="6" t="s">
        <v>424</v>
      </c>
      <c r="D132" s="6" t="s">
        <v>83</v>
      </c>
      <c r="E132" s="6" t="s">
        <v>65</v>
      </c>
      <c r="F132" s="6" t="s">
        <v>66</v>
      </c>
      <c r="G132" s="6">
        <v>1.0</v>
      </c>
      <c r="H132" s="6">
        <v>301.43</v>
      </c>
      <c r="I132" s="6">
        <v>508.29</v>
      </c>
      <c r="J132" s="6">
        <v>1.02</v>
      </c>
      <c r="K132" s="6" t="s">
        <v>44</v>
      </c>
      <c r="L132" s="6" t="s">
        <v>33</v>
      </c>
      <c r="M132" s="6">
        <f t="shared" si="1"/>
        <v>301.43</v>
      </c>
      <c r="N132" s="6">
        <f t="shared" si="2"/>
        <v>503.105442</v>
      </c>
      <c r="O132" s="6">
        <f t="shared" si="3"/>
        <v>201.675442</v>
      </c>
      <c r="P132" s="7">
        <f t="shared" si="4"/>
        <v>0.4008611817</v>
      </c>
      <c r="Q132" s="6" t="s">
        <v>26</v>
      </c>
      <c r="R132" s="8">
        <f t="shared" si="5"/>
        <v>5.184558</v>
      </c>
    </row>
    <row r="133" ht="14.25" customHeight="1">
      <c r="A133" s="6" t="s">
        <v>425</v>
      </c>
      <c r="B133" s="6" t="s">
        <v>426</v>
      </c>
      <c r="C133" s="6" t="s">
        <v>427</v>
      </c>
      <c r="D133" s="6" t="s">
        <v>83</v>
      </c>
      <c r="E133" s="6" t="s">
        <v>104</v>
      </c>
      <c r="F133" s="6" t="s">
        <v>105</v>
      </c>
      <c r="G133" s="6">
        <v>2.0</v>
      </c>
      <c r="H133" s="6">
        <v>218.22</v>
      </c>
      <c r="I133" s="6">
        <v>290.96</v>
      </c>
      <c r="J133" s="6">
        <v>2.67</v>
      </c>
      <c r="K133" s="6" t="s">
        <v>24</v>
      </c>
      <c r="L133" s="6" t="s">
        <v>61</v>
      </c>
      <c r="M133" s="6">
        <f t="shared" si="1"/>
        <v>436.44</v>
      </c>
      <c r="N133" s="6">
        <f t="shared" si="2"/>
        <v>566.382736</v>
      </c>
      <c r="O133" s="6">
        <f t="shared" si="3"/>
        <v>129.942736</v>
      </c>
      <c r="P133" s="7">
        <f t="shared" si="4"/>
        <v>0.2294256653</v>
      </c>
      <c r="Q133" s="6" t="s">
        <v>26</v>
      </c>
      <c r="R133" s="8">
        <f t="shared" si="5"/>
        <v>15.537264</v>
      </c>
    </row>
    <row r="134" ht="14.25" customHeight="1">
      <c r="A134" s="6" t="s">
        <v>428</v>
      </c>
      <c r="B134" s="6" t="s">
        <v>429</v>
      </c>
      <c r="C134" s="6" t="s">
        <v>430</v>
      </c>
      <c r="D134" s="6" t="s">
        <v>64</v>
      </c>
      <c r="E134" s="6" t="s">
        <v>31</v>
      </c>
      <c r="F134" s="6" t="s">
        <v>32</v>
      </c>
      <c r="G134" s="6">
        <v>2.0</v>
      </c>
      <c r="H134" s="6">
        <v>260.8</v>
      </c>
      <c r="I134" s="6">
        <v>324.68</v>
      </c>
      <c r="J134" s="6">
        <v>14.59</v>
      </c>
      <c r="K134" s="6" t="s">
        <v>44</v>
      </c>
      <c r="L134" s="6" t="s">
        <v>25</v>
      </c>
      <c r="M134" s="6">
        <f t="shared" si="1"/>
        <v>521.6</v>
      </c>
      <c r="N134" s="6">
        <f t="shared" si="2"/>
        <v>554.618376</v>
      </c>
      <c r="O134" s="6">
        <f t="shared" si="3"/>
        <v>33.018376</v>
      </c>
      <c r="P134" s="7">
        <f t="shared" si="4"/>
        <v>0.05953350525</v>
      </c>
      <c r="Q134" s="6" t="s">
        <v>34</v>
      </c>
      <c r="R134" s="8">
        <f t="shared" si="5"/>
        <v>94.741624</v>
      </c>
    </row>
    <row r="135" ht="14.25" customHeight="1">
      <c r="A135" s="6" t="s">
        <v>431</v>
      </c>
      <c r="B135" s="6" t="s">
        <v>432</v>
      </c>
      <c r="C135" s="6" t="s">
        <v>433</v>
      </c>
      <c r="D135" s="6" t="s">
        <v>64</v>
      </c>
      <c r="E135" s="6" t="s">
        <v>59</v>
      </c>
      <c r="F135" s="6" t="s">
        <v>60</v>
      </c>
      <c r="G135" s="6">
        <v>7.0</v>
      </c>
      <c r="H135" s="6">
        <v>368.69</v>
      </c>
      <c r="I135" s="6">
        <v>584.66</v>
      </c>
      <c r="J135" s="6">
        <v>12.24</v>
      </c>
      <c r="K135" s="6" t="s">
        <v>44</v>
      </c>
      <c r="L135" s="6" t="s">
        <v>25</v>
      </c>
      <c r="M135" s="6">
        <f t="shared" si="1"/>
        <v>2580.83</v>
      </c>
      <c r="N135" s="6">
        <f t="shared" si="2"/>
        <v>3591.683312</v>
      </c>
      <c r="O135" s="6">
        <f t="shared" si="3"/>
        <v>1010.853312</v>
      </c>
      <c r="P135" s="7">
        <f t="shared" si="4"/>
        <v>0.2814427733</v>
      </c>
      <c r="Q135" s="6" t="s">
        <v>34</v>
      </c>
      <c r="R135" s="8">
        <f t="shared" si="5"/>
        <v>500.936688</v>
      </c>
    </row>
    <row r="136" ht="14.25" customHeight="1">
      <c r="A136" s="6" t="s">
        <v>434</v>
      </c>
      <c r="B136" s="6" t="s">
        <v>435</v>
      </c>
      <c r="C136" s="6" t="s">
        <v>436</v>
      </c>
      <c r="D136" s="6" t="s">
        <v>48</v>
      </c>
      <c r="E136" s="6" t="s">
        <v>65</v>
      </c>
      <c r="F136" s="6" t="s">
        <v>66</v>
      </c>
      <c r="G136" s="6">
        <v>3.0</v>
      </c>
      <c r="H136" s="6">
        <v>156.23</v>
      </c>
      <c r="I136" s="6">
        <v>272.49</v>
      </c>
      <c r="J136" s="6">
        <v>6.67</v>
      </c>
      <c r="K136" s="6" t="s">
        <v>44</v>
      </c>
      <c r="L136" s="6" t="s">
        <v>33</v>
      </c>
      <c r="M136" s="6">
        <f t="shared" si="1"/>
        <v>468.69</v>
      </c>
      <c r="N136" s="6">
        <f t="shared" si="2"/>
        <v>762.944751</v>
      </c>
      <c r="O136" s="6">
        <f t="shared" si="3"/>
        <v>294.254751</v>
      </c>
      <c r="P136" s="7">
        <f t="shared" si="4"/>
        <v>0.385682909</v>
      </c>
      <c r="Q136" s="6" t="s">
        <v>76</v>
      </c>
      <c r="R136" s="8">
        <f t="shared" si="5"/>
        <v>54.525249</v>
      </c>
    </row>
    <row r="137" ht="14.25" customHeight="1">
      <c r="A137" s="6" t="s">
        <v>437</v>
      </c>
      <c r="B137" s="6" t="s">
        <v>438</v>
      </c>
      <c r="C137" s="6" t="s">
        <v>439</v>
      </c>
      <c r="D137" s="6" t="s">
        <v>48</v>
      </c>
      <c r="E137" s="6" t="s">
        <v>53</v>
      </c>
      <c r="F137" s="6" t="s">
        <v>54</v>
      </c>
      <c r="G137" s="6">
        <v>1.0</v>
      </c>
      <c r="H137" s="6">
        <v>138.64</v>
      </c>
      <c r="I137" s="6">
        <v>215.78</v>
      </c>
      <c r="J137" s="6">
        <v>2.66</v>
      </c>
      <c r="K137" s="6" t="s">
        <v>24</v>
      </c>
      <c r="L137" s="6" t="s">
        <v>55</v>
      </c>
      <c r="M137" s="6">
        <f t="shared" si="1"/>
        <v>138.64</v>
      </c>
      <c r="N137" s="6">
        <f t="shared" si="2"/>
        <v>210.040252</v>
      </c>
      <c r="O137" s="6">
        <f t="shared" si="3"/>
        <v>71.400252</v>
      </c>
      <c r="P137" s="7">
        <f t="shared" si="4"/>
        <v>0.3399360424</v>
      </c>
      <c r="Q137" s="6" t="s">
        <v>49</v>
      </c>
      <c r="R137" s="8">
        <f t="shared" si="5"/>
        <v>5.739748</v>
      </c>
    </row>
    <row r="138" ht="14.25" customHeight="1">
      <c r="A138" s="6" t="s">
        <v>440</v>
      </c>
      <c r="B138" s="6" t="s">
        <v>441</v>
      </c>
      <c r="C138" s="6" t="s">
        <v>442</v>
      </c>
      <c r="D138" s="6" t="s">
        <v>30</v>
      </c>
      <c r="E138" s="6" t="s">
        <v>65</v>
      </c>
      <c r="F138" s="6" t="s">
        <v>75</v>
      </c>
      <c r="G138" s="6">
        <v>7.0</v>
      </c>
      <c r="H138" s="6">
        <v>107.48</v>
      </c>
      <c r="I138" s="6">
        <v>148.06</v>
      </c>
      <c r="J138" s="6">
        <v>11.43</v>
      </c>
      <c r="K138" s="6" t="s">
        <v>24</v>
      </c>
      <c r="L138" s="6" t="s">
        <v>25</v>
      </c>
      <c r="M138" s="6">
        <f t="shared" si="1"/>
        <v>752.36</v>
      </c>
      <c r="N138" s="6">
        <f t="shared" si="2"/>
        <v>917.957194</v>
      </c>
      <c r="O138" s="6">
        <f t="shared" si="3"/>
        <v>165.597194</v>
      </c>
      <c r="P138" s="7">
        <f t="shared" si="4"/>
        <v>0.1803975121</v>
      </c>
      <c r="Q138" s="6" t="s">
        <v>49</v>
      </c>
      <c r="R138" s="8">
        <f t="shared" si="5"/>
        <v>118.462806</v>
      </c>
    </row>
    <row r="139" ht="14.25" customHeight="1">
      <c r="A139" s="6" t="s">
        <v>443</v>
      </c>
      <c r="B139" s="6" t="s">
        <v>420</v>
      </c>
      <c r="C139" s="6" t="s">
        <v>444</v>
      </c>
      <c r="D139" s="6" t="s">
        <v>64</v>
      </c>
      <c r="E139" s="6" t="s">
        <v>104</v>
      </c>
      <c r="F139" s="6" t="s">
        <v>105</v>
      </c>
      <c r="G139" s="6">
        <v>1.0</v>
      </c>
      <c r="H139" s="6">
        <v>87.84</v>
      </c>
      <c r="I139" s="6">
        <v>104.03</v>
      </c>
      <c r="J139" s="6">
        <v>15.28</v>
      </c>
      <c r="K139" s="6" t="s">
        <v>24</v>
      </c>
      <c r="L139" s="6" t="s">
        <v>33</v>
      </c>
      <c r="M139" s="6">
        <f t="shared" si="1"/>
        <v>87.84</v>
      </c>
      <c r="N139" s="6">
        <f t="shared" si="2"/>
        <v>88.134216</v>
      </c>
      <c r="O139" s="6">
        <f t="shared" si="3"/>
        <v>0.294216</v>
      </c>
      <c r="P139" s="7">
        <f t="shared" si="4"/>
        <v>0.003338272164</v>
      </c>
      <c r="Q139" s="6" t="s">
        <v>34</v>
      </c>
      <c r="R139" s="8">
        <f t="shared" si="5"/>
        <v>15.895784</v>
      </c>
    </row>
    <row r="140" ht="14.25" customHeight="1">
      <c r="A140" s="6" t="s">
        <v>445</v>
      </c>
      <c r="B140" s="6" t="s">
        <v>446</v>
      </c>
      <c r="C140" s="6" t="s">
        <v>447</v>
      </c>
      <c r="D140" s="6" t="s">
        <v>21</v>
      </c>
      <c r="E140" s="6" t="s">
        <v>65</v>
      </c>
      <c r="F140" s="6" t="s">
        <v>75</v>
      </c>
      <c r="G140" s="6">
        <v>4.0</v>
      </c>
      <c r="H140" s="6">
        <v>94.22</v>
      </c>
      <c r="I140" s="6">
        <v>170.22</v>
      </c>
      <c r="J140" s="6">
        <v>18.98</v>
      </c>
      <c r="K140" s="6" t="s">
        <v>24</v>
      </c>
      <c r="L140" s="6" t="s">
        <v>61</v>
      </c>
      <c r="M140" s="6">
        <f t="shared" si="1"/>
        <v>376.88</v>
      </c>
      <c r="N140" s="6">
        <f t="shared" si="2"/>
        <v>551.648976</v>
      </c>
      <c r="O140" s="6">
        <f t="shared" si="3"/>
        <v>174.768976</v>
      </c>
      <c r="P140" s="7">
        <f t="shared" si="4"/>
        <v>0.3168119286</v>
      </c>
      <c r="Q140" s="6" t="s">
        <v>26</v>
      </c>
      <c r="R140" s="8">
        <f t="shared" si="5"/>
        <v>129.231024</v>
      </c>
    </row>
    <row r="141" ht="14.25" customHeight="1">
      <c r="A141" s="6" t="s">
        <v>448</v>
      </c>
      <c r="B141" s="6" t="s">
        <v>449</v>
      </c>
      <c r="C141" s="6" t="s">
        <v>450</v>
      </c>
      <c r="D141" s="6" t="s">
        <v>30</v>
      </c>
      <c r="E141" s="6" t="s">
        <v>65</v>
      </c>
      <c r="F141" s="6" t="s">
        <v>75</v>
      </c>
      <c r="G141" s="6">
        <v>8.0</v>
      </c>
      <c r="H141" s="6">
        <v>350.52</v>
      </c>
      <c r="I141" s="6">
        <v>424.1</v>
      </c>
      <c r="J141" s="6">
        <v>20.27</v>
      </c>
      <c r="K141" s="6" t="s">
        <v>44</v>
      </c>
      <c r="L141" s="6" t="s">
        <v>33</v>
      </c>
      <c r="M141" s="6">
        <f t="shared" si="1"/>
        <v>2804.16</v>
      </c>
      <c r="N141" s="6">
        <f t="shared" si="2"/>
        <v>2705.07944</v>
      </c>
      <c r="O141" s="6">
        <f t="shared" si="3"/>
        <v>-99.08056</v>
      </c>
      <c r="P141" s="7">
        <f t="shared" si="4"/>
        <v>-0.03662759715</v>
      </c>
      <c r="Q141" s="6" t="s">
        <v>40</v>
      </c>
      <c r="R141" s="8">
        <f t="shared" si="5"/>
        <v>687.72056</v>
      </c>
    </row>
    <row r="142" ht="14.25" customHeight="1">
      <c r="A142" s="6" t="s">
        <v>451</v>
      </c>
      <c r="B142" s="6" t="s">
        <v>347</v>
      </c>
      <c r="C142" s="6" t="s">
        <v>452</v>
      </c>
      <c r="D142" s="6" t="s">
        <v>48</v>
      </c>
      <c r="E142" s="6" t="s">
        <v>59</v>
      </c>
      <c r="F142" s="6" t="s">
        <v>60</v>
      </c>
      <c r="G142" s="6">
        <v>6.0</v>
      </c>
      <c r="H142" s="6">
        <v>63.42</v>
      </c>
      <c r="I142" s="6">
        <v>105.33</v>
      </c>
      <c r="J142" s="6">
        <v>15.97</v>
      </c>
      <c r="K142" s="6" t="s">
        <v>44</v>
      </c>
      <c r="L142" s="6" t="s">
        <v>33</v>
      </c>
      <c r="M142" s="6">
        <f t="shared" si="1"/>
        <v>380.52</v>
      </c>
      <c r="N142" s="6">
        <f t="shared" si="2"/>
        <v>531.052794</v>
      </c>
      <c r="O142" s="6">
        <f t="shared" si="3"/>
        <v>150.532794</v>
      </c>
      <c r="P142" s="7">
        <f t="shared" si="4"/>
        <v>0.2834610715</v>
      </c>
      <c r="Q142" s="6" t="s">
        <v>49</v>
      </c>
      <c r="R142" s="8">
        <f t="shared" si="5"/>
        <v>100.927206</v>
      </c>
    </row>
    <row r="143" ht="14.25" customHeight="1">
      <c r="A143" s="6" t="s">
        <v>453</v>
      </c>
      <c r="B143" s="6" t="s">
        <v>446</v>
      </c>
      <c r="C143" s="6" t="s">
        <v>454</v>
      </c>
      <c r="D143" s="6" t="s">
        <v>83</v>
      </c>
      <c r="E143" s="6" t="s">
        <v>38</v>
      </c>
      <c r="F143" s="6" t="s">
        <v>71</v>
      </c>
      <c r="G143" s="6">
        <v>3.0</v>
      </c>
      <c r="H143" s="6">
        <v>198.12</v>
      </c>
      <c r="I143" s="6">
        <v>306.03</v>
      </c>
      <c r="J143" s="6">
        <v>12.11</v>
      </c>
      <c r="K143" s="6" t="s">
        <v>24</v>
      </c>
      <c r="L143" s="6" t="s">
        <v>33</v>
      </c>
      <c r="M143" s="6">
        <f t="shared" si="1"/>
        <v>594.36</v>
      </c>
      <c r="N143" s="6">
        <f t="shared" si="2"/>
        <v>806.909301</v>
      </c>
      <c r="O143" s="6">
        <f t="shared" si="3"/>
        <v>212.549301</v>
      </c>
      <c r="P143" s="7">
        <f t="shared" si="4"/>
        <v>0.2634116384</v>
      </c>
      <c r="Q143" s="6" t="s">
        <v>34</v>
      </c>
      <c r="R143" s="8">
        <f t="shared" si="5"/>
        <v>111.180699</v>
      </c>
    </row>
    <row r="144" ht="14.25" customHeight="1">
      <c r="A144" s="6" t="s">
        <v>455</v>
      </c>
      <c r="B144" s="6" t="s">
        <v>456</v>
      </c>
      <c r="C144" s="6" t="s">
        <v>457</v>
      </c>
      <c r="D144" s="6" t="s">
        <v>64</v>
      </c>
      <c r="E144" s="6" t="s">
        <v>65</v>
      </c>
      <c r="F144" s="6" t="s">
        <v>66</v>
      </c>
      <c r="G144" s="6">
        <v>7.0</v>
      </c>
      <c r="H144" s="6">
        <v>115.67</v>
      </c>
      <c r="I144" s="6">
        <v>221.43</v>
      </c>
      <c r="J144" s="6">
        <v>17.81</v>
      </c>
      <c r="K144" s="6" t="s">
        <v>24</v>
      </c>
      <c r="L144" s="6" t="s">
        <v>55</v>
      </c>
      <c r="M144" s="6">
        <f t="shared" si="1"/>
        <v>809.69</v>
      </c>
      <c r="N144" s="6">
        <f t="shared" si="2"/>
        <v>1273.953219</v>
      </c>
      <c r="O144" s="6">
        <f t="shared" si="3"/>
        <v>464.263219</v>
      </c>
      <c r="P144" s="7">
        <f t="shared" si="4"/>
        <v>0.3644272114</v>
      </c>
      <c r="Q144" s="6" t="s">
        <v>49</v>
      </c>
      <c r="R144" s="8">
        <f t="shared" si="5"/>
        <v>276.056781</v>
      </c>
    </row>
    <row r="145" ht="14.25" customHeight="1">
      <c r="A145" s="6" t="s">
        <v>458</v>
      </c>
      <c r="B145" s="6" t="s">
        <v>459</v>
      </c>
      <c r="C145" s="6" t="s">
        <v>460</v>
      </c>
      <c r="D145" s="6" t="s">
        <v>48</v>
      </c>
      <c r="E145" s="6" t="s">
        <v>53</v>
      </c>
      <c r="F145" s="6" t="s">
        <v>54</v>
      </c>
      <c r="G145" s="6">
        <v>3.0</v>
      </c>
      <c r="H145" s="6">
        <v>174.48</v>
      </c>
      <c r="I145" s="6">
        <v>275.86</v>
      </c>
      <c r="J145" s="6">
        <v>14.69</v>
      </c>
      <c r="K145" s="6" t="s">
        <v>24</v>
      </c>
      <c r="L145" s="6" t="s">
        <v>61</v>
      </c>
      <c r="M145" s="6">
        <f t="shared" si="1"/>
        <v>523.44</v>
      </c>
      <c r="N145" s="6">
        <f t="shared" si="2"/>
        <v>706.008498</v>
      </c>
      <c r="O145" s="6">
        <f t="shared" si="3"/>
        <v>182.568498</v>
      </c>
      <c r="P145" s="7">
        <f t="shared" si="4"/>
        <v>0.2585924936</v>
      </c>
      <c r="Q145" s="6" t="s">
        <v>76</v>
      </c>
      <c r="R145" s="8">
        <f t="shared" si="5"/>
        <v>121.571502</v>
      </c>
    </row>
    <row r="146" ht="14.25" customHeight="1">
      <c r="A146" s="6" t="s">
        <v>461</v>
      </c>
      <c r="B146" s="6" t="s">
        <v>462</v>
      </c>
      <c r="C146" s="6" t="s">
        <v>463</v>
      </c>
      <c r="D146" s="6" t="s">
        <v>70</v>
      </c>
      <c r="E146" s="6" t="s">
        <v>22</v>
      </c>
      <c r="F146" s="6" t="s">
        <v>23</v>
      </c>
      <c r="G146" s="6">
        <v>2.0</v>
      </c>
      <c r="H146" s="6">
        <v>149.57</v>
      </c>
      <c r="I146" s="6">
        <v>207.52</v>
      </c>
      <c r="J146" s="6">
        <v>16.59</v>
      </c>
      <c r="K146" s="6" t="s">
        <v>24</v>
      </c>
      <c r="L146" s="6" t="s">
        <v>25</v>
      </c>
      <c r="M146" s="6">
        <f t="shared" si="1"/>
        <v>299.14</v>
      </c>
      <c r="N146" s="6">
        <f t="shared" si="2"/>
        <v>346.184864</v>
      </c>
      <c r="O146" s="6">
        <f t="shared" si="3"/>
        <v>47.044864</v>
      </c>
      <c r="P146" s="7">
        <f t="shared" si="4"/>
        <v>0.1358952077</v>
      </c>
      <c r="Q146" s="6" t="s">
        <v>40</v>
      </c>
      <c r="R146" s="8">
        <f t="shared" si="5"/>
        <v>68.855136</v>
      </c>
    </row>
    <row r="147" ht="14.25" customHeight="1">
      <c r="A147" s="6" t="s">
        <v>464</v>
      </c>
      <c r="B147" s="6" t="s">
        <v>465</v>
      </c>
      <c r="C147" s="6" t="s">
        <v>466</v>
      </c>
      <c r="D147" s="6" t="s">
        <v>30</v>
      </c>
      <c r="E147" s="6" t="s">
        <v>65</v>
      </c>
      <c r="F147" s="6" t="s">
        <v>66</v>
      </c>
      <c r="G147" s="6">
        <v>5.0</v>
      </c>
      <c r="H147" s="6">
        <v>119.5</v>
      </c>
      <c r="I147" s="6">
        <v>204.52</v>
      </c>
      <c r="J147" s="6">
        <v>14.18</v>
      </c>
      <c r="K147" s="6" t="s">
        <v>24</v>
      </c>
      <c r="L147" s="6" t="s">
        <v>25</v>
      </c>
      <c r="M147" s="6">
        <f t="shared" si="1"/>
        <v>597.5</v>
      </c>
      <c r="N147" s="6">
        <f t="shared" si="2"/>
        <v>877.59532</v>
      </c>
      <c r="O147" s="6">
        <f t="shared" si="3"/>
        <v>280.09532</v>
      </c>
      <c r="P147" s="7">
        <f t="shared" si="4"/>
        <v>0.3191622763</v>
      </c>
      <c r="Q147" s="6" t="s">
        <v>26</v>
      </c>
      <c r="R147" s="8">
        <f t="shared" si="5"/>
        <v>145.00468</v>
      </c>
    </row>
    <row r="148" ht="14.25" customHeight="1">
      <c r="A148" s="6" t="s">
        <v>467</v>
      </c>
      <c r="B148" s="6" t="s">
        <v>110</v>
      </c>
      <c r="C148" s="6" t="s">
        <v>468</v>
      </c>
      <c r="D148" s="6" t="s">
        <v>30</v>
      </c>
      <c r="E148" s="6" t="s">
        <v>53</v>
      </c>
      <c r="F148" s="6" t="s">
        <v>54</v>
      </c>
      <c r="G148" s="6">
        <v>2.0</v>
      </c>
      <c r="H148" s="6">
        <v>182.44</v>
      </c>
      <c r="I148" s="6">
        <v>240.6</v>
      </c>
      <c r="J148" s="6">
        <v>18.93</v>
      </c>
      <c r="K148" s="6" t="s">
        <v>44</v>
      </c>
      <c r="L148" s="6" t="s">
        <v>55</v>
      </c>
      <c r="M148" s="6">
        <f t="shared" si="1"/>
        <v>364.88</v>
      </c>
      <c r="N148" s="6">
        <f t="shared" si="2"/>
        <v>390.10884</v>
      </c>
      <c r="O148" s="6">
        <f t="shared" si="3"/>
        <v>25.22884</v>
      </c>
      <c r="P148" s="7">
        <f t="shared" si="4"/>
        <v>0.06467128507</v>
      </c>
      <c r="Q148" s="6" t="s">
        <v>34</v>
      </c>
      <c r="R148" s="8">
        <f t="shared" si="5"/>
        <v>91.09116</v>
      </c>
    </row>
    <row r="149" ht="14.25" customHeight="1">
      <c r="A149" s="6" t="s">
        <v>469</v>
      </c>
      <c r="B149" s="6" t="s">
        <v>470</v>
      </c>
      <c r="C149" s="6" t="s">
        <v>471</v>
      </c>
      <c r="D149" s="6" t="s">
        <v>64</v>
      </c>
      <c r="E149" s="6" t="s">
        <v>53</v>
      </c>
      <c r="F149" s="6" t="s">
        <v>54</v>
      </c>
      <c r="G149" s="6">
        <v>2.0</v>
      </c>
      <c r="H149" s="6">
        <v>71.38</v>
      </c>
      <c r="I149" s="6">
        <v>86.8</v>
      </c>
      <c r="J149" s="6">
        <v>16.39</v>
      </c>
      <c r="K149" s="6" t="s">
        <v>44</v>
      </c>
      <c r="L149" s="6" t="s">
        <v>55</v>
      </c>
      <c r="M149" s="6">
        <f t="shared" si="1"/>
        <v>142.76</v>
      </c>
      <c r="N149" s="6">
        <f t="shared" si="2"/>
        <v>145.14696</v>
      </c>
      <c r="O149" s="6">
        <f t="shared" si="3"/>
        <v>2.38696</v>
      </c>
      <c r="P149" s="7">
        <f t="shared" si="4"/>
        <v>0.01644512569</v>
      </c>
      <c r="Q149" s="6" t="s">
        <v>26</v>
      </c>
      <c r="R149" s="8">
        <f t="shared" si="5"/>
        <v>28.45304</v>
      </c>
    </row>
    <row r="150" ht="14.25" customHeight="1">
      <c r="A150" s="6" t="s">
        <v>472</v>
      </c>
      <c r="B150" s="6" t="s">
        <v>473</v>
      </c>
      <c r="C150" s="6" t="s">
        <v>474</v>
      </c>
      <c r="D150" s="6" t="s">
        <v>21</v>
      </c>
      <c r="E150" s="6" t="s">
        <v>104</v>
      </c>
      <c r="F150" s="6" t="s">
        <v>105</v>
      </c>
      <c r="G150" s="6">
        <v>4.0</v>
      </c>
      <c r="H150" s="6">
        <v>351.77</v>
      </c>
      <c r="I150" s="6">
        <v>424.25</v>
      </c>
      <c r="J150" s="6">
        <v>17.52</v>
      </c>
      <c r="K150" s="6" t="s">
        <v>44</v>
      </c>
      <c r="L150" s="6" t="s">
        <v>61</v>
      </c>
      <c r="M150" s="6">
        <f t="shared" si="1"/>
        <v>1407.08</v>
      </c>
      <c r="N150" s="6">
        <f t="shared" si="2"/>
        <v>1399.6856</v>
      </c>
      <c r="O150" s="6">
        <f t="shared" si="3"/>
        <v>-7.3944</v>
      </c>
      <c r="P150" s="7">
        <f t="shared" si="4"/>
        <v>-0.005282900674</v>
      </c>
      <c r="Q150" s="6" t="s">
        <v>49</v>
      </c>
      <c r="R150" s="8">
        <f t="shared" si="5"/>
        <v>297.3144</v>
      </c>
    </row>
    <row r="151" ht="14.25" customHeight="1">
      <c r="A151" s="6" t="s">
        <v>475</v>
      </c>
      <c r="B151" s="6" t="s">
        <v>476</v>
      </c>
      <c r="C151" s="6" t="s">
        <v>474</v>
      </c>
      <c r="D151" s="6" t="s">
        <v>21</v>
      </c>
      <c r="E151" s="6" t="s">
        <v>53</v>
      </c>
      <c r="F151" s="6" t="s">
        <v>54</v>
      </c>
      <c r="G151" s="6">
        <v>8.0</v>
      </c>
      <c r="H151" s="6">
        <v>240.96</v>
      </c>
      <c r="I151" s="6">
        <v>446.54</v>
      </c>
      <c r="J151" s="6">
        <v>12.04</v>
      </c>
      <c r="K151" s="6" t="s">
        <v>24</v>
      </c>
      <c r="L151" s="6" t="s">
        <v>61</v>
      </c>
      <c r="M151" s="6">
        <f t="shared" si="1"/>
        <v>1927.68</v>
      </c>
      <c r="N151" s="6">
        <f t="shared" si="2"/>
        <v>3142.212672</v>
      </c>
      <c r="O151" s="6">
        <f t="shared" si="3"/>
        <v>1214.532672</v>
      </c>
      <c r="P151" s="7">
        <f t="shared" si="4"/>
        <v>0.3865214735</v>
      </c>
      <c r="Q151" s="6" t="s">
        <v>26</v>
      </c>
      <c r="R151" s="8">
        <f t="shared" si="5"/>
        <v>430.107328</v>
      </c>
    </row>
    <row r="152" ht="14.25" customHeight="1">
      <c r="A152" s="6" t="s">
        <v>477</v>
      </c>
      <c r="B152" s="6" t="s">
        <v>478</v>
      </c>
      <c r="C152" s="6" t="s">
        <v>479</v>
      </c>
      <c r="D152" s="6" t="s">
        <v>70</v>
      </c>
      <c r="E152" s="6" t="s">
        <v>31</v>
      </c>
      <c r="F152" s="6" t="s">
        <v>32</v>
      </c>
      <c r="G152" s="6">
        <v>4.0</v>
      </c>
      <c r="H152" s="6">
        <v>344.49</v>
      </c>
      <c r="I152" s="6">
        <v>594.92</v>
      </c>
      <c r="J152" s="6">
        <v>17.1</v>
      </c>
      <c r="K152" s="6" t="s">
        <v>44</v>
      </c>
      <c r="L152" s="6" t="s">
        <v>25</v>
      </c>
      <c r="M152" s="6">
        <f t="shared" si="1"/>
        <v>1377.96</v>
      </c>
      <c r="N152" s="6">
        <f t="shared" si="2"/>
        <v>1972.75472</v>
      </c>
      <c r="O152" s="6">
        <f t="shared" si="3"/>
        <v>594.79472</v>
      </c>
      <c r="P152" s="7">
        <f t="shared" si="4"/>
        <v>0.3015046493</v>
      </c>
      <c r="Q152" s="6" t="s">
        <v>34</v>
      </c>
      <c r="R152" s="8">
        <f t="shared" si="5"/>
        <v>406.92528</v>
      </c>
    </row>
    <row r="153" ht="14.25" customHeight="1">
      <c r="A153" s="6" t="s">
        <v>480</v>
      </c>
      <c r="B153" s="6" t="s">
        <v>481</v>
      </c>
      <c r="C153" s="6" t="s">
        <v>482</v>
      </c>
      <c r="D153" s="6" t="s">
        <v>21</v>
      </c>
      <c r="E153" s="6" t="s">
        <v>38</v>
      </c>
      <c r="F153" s="6" t="s">
        <v>39</v>
      </c>
      <c r="G153" s="6">
        <v>2.0</v>
      </c>
      <c r="H153" s="6">
        <v>328.03</v>
      </c>
      <c r="I153" s="6">
        <v>572.75</v>
      </c>
      <c r="J153" s="6">
        <v>5.28</v>
      </c>
      <c r="K153" s="6" t="s">
        <v>44</v>
      </c>
      <c r="L153" s="6" t="s">
        <v>33</v>
      </c>
      <c r="M153" s="6">
        <f t="shared" si="1"/>
        <v>656.06</v>
      </c>
      <c r="N153" s="6">
        <f t="shared" si="2"/>
        <v>1085.0176</v>
      </c>
      <c r="O153" s="6">
        <f t="shared" si="3"/>
        <v>428.9576</v>
      </c>
      <c r="P153" s="7">
        <f t="shared" si="4"/>
        <v>0.3953462137</v>
      </c>
      <c r="Q153" s="6" t="s">
        <v>26</v>
      </c>
      <c r="R153" s="8">
        <f t="shared" si="5"/>
        <v>60.4824</v>
      </c>
    </row>
    <row r="154" ht="14.25" customHeight="1">
      <c r="A154" s="6" t="s">
        <v>483</v>
      </c>
      <c r="B154" s="6" t="s">
        <v>355</v>
      </c>
      <c r="C154" s="6" t="s">
        <v>484</v>
      </c>
      <c r="D154" s="6" t="s">
        <v>30</v>
      </c>
      <c r="E154" s="6" t="s">
        <v>38</v>
      </c>
      <c r="F154" s="6" t="s">
        <v>71</v>
      </c>
      <c r="G154" s="6">
        <v>8.0</v>
      </c>
      <c r="H154" s="6">
        <v>185.96</v>
      </c>
      <c r="I154" s="6">
        <v>365.19</v>
      </c>
      <c r="J154" s="6">
        <v>9.93</v>
      </c>
      <c r="K154" s="6" t="s">
        <v>24</v>
      </c>
      <c r="L154" s="6" t="s">
        <v>33</v>
      </c>
      <c r="M154" s="6">
        <f t="shared" si="1"/>
        <v>1487.68</v>
      </c>
      <c r="N154" s="6">
        <f t="shared" si="2"/>
        <v>2631.413064</v>
      </c>
      <c r="O154" s="6">
        <f t="shared" si="3"/>
        <v>1143.733064</v>
      </c>
      <c r="P154" s="7">
        <f t="shared" si="4"/>
        <v>0.4346459625</v>
      </c>
      <c r="Q154" s="6" t="s">
        <v>49</v>
      </c>
      <c r="R154" s="8">
        <f t="shared" si="5"/>
        <v>290.106936</v>
      </c>
    </row>
    <row r="155" ht="14.25" customHeight="1">
      <c r="A155" s="6" t="s">
        <v>485</v>
      </c>
      <c r="B155" s="6" t="s">
        <v>73</v>
      </c>
      <c r="C155" s="6" t="s">
        <v>486</v>
      </c>
      <c r="D155" s="6" t="s">
        <v>70</v>
      </c>
      <c r="E155" s="6" t="s">
        <v>22</v>
      </c>
      <c r="F155" s="6" t="s">
        <v>23</v>
      </c>
      <c r="G155" s="6">
        <v>1.0</v>
      </c>
      <c r="H155" s="6">
        <v>390.07</v>
      </c>
      <c r="I155" s="6">
        <v>551.6</v>
      </c>
      <c r="J155" s="6">
        <v>16.57</v>
      </c>
      <c r="K155" s="6" t="s">
        <v>24</v>
      </c>
      <c r="L155" s="6" t="s">
        <v>33</v>
      </c>
      <c r="M155" s="6">
        <f t="shared" si="1"/>
        <v>390.07</v>
      </c>
      <c r="N155" s="6">
        <f t="shared" si="2"/>
        <v>460.19988</v>
      </c>
      <c r="O155" s="6">
        <f t="shared" si="3"/>
        <v>70.12988</v>
      </c>
      <c r="P155" s="7">
        <f t="shared" si="4"/>
        <v>0.1523900441</v>
      </c>
      <c r="Q155" s="6" t="s">
        <v>34</v>
      </c>
      <c r="R155" s="8">
        <f t="shared" si="5"/>
        <v>91.40012</v>
      </c>
    </row>
    <row r="156" ht="14.25" customHeight="1">
      <c r="A156" s="6" t="s">
        <v>487</v>
      </c>
      <c r="B156" s="6" t="s">
        <v>488</v>
      </c>
      <c r="C156" s="6" t="s">
        <v>489</v>
      </c>
      <c r="D156" s="6" t="s">
        <v>48</v>
      </c>
      <c r="E156" s="6" t="s">
        <v>22</v>
      </c>
      <c r="F156" s="6" t="s">
        <v>23</v>
      </c>
      <c r="G156" s="6">
        <v>7.0</v>
      </c>
      <c r="H156" s="6">
        <v>280.16</v>
      </c>
      <c r="I156" s="6">
        <v>444.44</v>
      </c>
      <c r="J156" s="6">
        <v>24.36</v>
      </c>
      <c r="K156" s="6" t="s">
        <v>44</v>
      </c>
      <c r="L156" s="6" t="s">
        <v>33</v>
      </c>
      <c r="M156" s="6">
        <f t="shared" si="1"/>
        <v>1961.12</v>
      </c>
      <c r="N156" s="6">
        <f t="shared" si="2"/>
        <v>2353.220912</v>
      </c>
      <c r="O156" s="6">
        <f t="shared" si="3"/>
        <v>392.100912</v>
      </c>
      <c r="P156" s="7">
        <f t="shared" si="4"/>
        <v>0.1666230782</v>
      </c>
      <c r="Q156" s="6" t="s">
        <v>34</v>
      </c>
      <c r="R156" s="8">
        <f t="shared" si="5"/>
        <v>757.859088</v>
      </c>
    </row>
    <row r="157" ht="14.25" customHeight="1">
      <c r="A157" s="6" t="s">
        <v>490</v>
      </c>
      <c r="B157" s="6" t="s">
        <v>491</v>
      </c>
      <c r="C157" s="6" t="s">
        <v>492</v>
      </c>
      <c r="D157" s="6" t="s">
        <v>21</v>
      </c>
      <c r="E157" s="6" t="s">
        <v>38</v>
      </c>
      <c r="F157" s="6" t="s">
        <v>39</v>
      </c>
      <c r="G157" s="6">
        <v>2.0</v>
      </c>
      <c r="H157" s="6">
        <v>284.7</v>
      </c>
      <c r="I157" s="6">
        <v>362.03</v>
      </c>
      <c r="J157" s="6">
        <v>21.32</v>
      </c>
      <c r="K157" s="6" t="s">
        <v>44</v>
      </c>
      <c r="L157" s="6" t="s">
        <v>61</v>
      </c>
      <c r="M157" s="6">
        <f t="shared" si="1"/>
        <v>569.4</v>
      </c>
      <c r="N157" s="6">
        <f t="shared" si="2"/>
        <v>569.690408</v>
      </c>
      <c r="O157" s="6">
        <f t="shared" si="3"/>
        <v>0.290408</v>
      </c>
      <c r="P157" s="7">
        <f t="shared" si="4"/>
        <v>0.0005097645948</v>
      </c>
      <c r="Q157" s="6" t="s">
        <v>26</v>
      </c>
      <c r="R157" s="8">
        <f t="shared" si="5"/>
        <v>154.369592</v>
      </c>
    </row>
    <row r="158" ht="14.25" customHeight="1">
      <c r="A158" s="6" t="s">
        <v>493</v>
      </c>
      <c r="B158" s="6" t="s">
        <v>494</v>
      </c>
      <c r="C158" s="6" t="s">
        <v>495</v>
      </c>
      <c r="D158" s="6" t="s">
        <v>21</v>
      </c>
      <c r="E158" s="6" t="s">
        <v>59</v>
      </c>
      <c r="F158" s="6" t="s">
        <v>60</v>
      </c>
      <c r="G158" s="6">
        <v>1.0</v>
      </c>
      <c r="H158" s="6">
        <v>405.19</v>
      </c>
      <c r="I158" s="6">
        <v>536.82</v>
      </c>
      <c r="J158" s="6">
        <v>20.53</v>
      </c>
      <c r="K158" s="6" t="s">
        <v>24</v>
      </c>
      <c r="L158" s="6" t="s">
        <v>61</v>
      </c>
      <c r="M158" s="6">
        <f t="shared" si="1"/>
        <v>405.19</v>
      </c>
      <c r="N158" s="6">
        <f t="shared" si="2"/>
        <v>426.610854</v>
      </c>
      <c r="O158" s="6">
        <f t="shared" si="3"/>
        <v>21.420854</v>
      </c>
      <c r="P158" s="7">
        <f t="shared" si="4"/>
        <v>0.0502116948</v>
      </c>
      <c r="Q158" s="6" t="s">
        <v>34</v>
      </c>
      <c r="R158" s="8">
        <f t="shared" si="5"/>
        <v>110.209146</v>
      </c>
    </row>
    <row r="159" ht="14.25" customHeight="1">
      <c r="A159" s="6" t="s">
        <v>496</v>
      </c>
      <c r="B159" s="6" t="s">
        <v>497</v>
      </c>
      <c r="C159" s="6" t="s">
        <v>498</v>
      </c>
      <c r="D159" s="6" t="s">
        <v>30</v>
      </c>
      <c r="E159" s="6" t="s">
        <v>87</v>
      </c>
      <c r="F159" s="6" t="s">
        <v>88</v>
      </c>
      <c r="G159" s="6">
        <v>4.0</v>
      </c>
      <c r="H159" s="6">
        <v>242.02</v>
      </c>
      <c r="I159" s="6">
        <v>436.39</v>
      </c>
      <c r="J159" s="6">
        <v>18.21</v>
      </c>
      <c r="K159" s="6" t="s">
        <v>44</v>
      </c>
      <c r="L159" s="6" t="s">
        <v>33</v>
      </c>
      <c r="M159" s="6">
        <f t="shared" si="1"/>
        <v>968.08</v>
      </c>
      <c r="N159" s="6">
        <f t="shared" si="2"/>
        <v>1427.693524</v>
      </c>
      <c r="O159" s="6">
        <f t="shared" si="3"/>
        <v>459.613524</v>
      </c>
      <c r="P159" s="7">
        <f t="shared" si="4"/>
        <v>0.3219273018</v>
      </c>
      <c r="Q159" s="6" t="s">
        <v>26</v>
      </c>
      <c r="R159" s="8">
        <f t="shared" si="5"/>
        <v>317.866476</v>
      </c>
    </row>
    <row r="160" ht="14.25" customHeight="1">
      <c r="A160" s="6" t="s">
        <v>499</v>
      </c>
      <c r="B160" s="6" t="s">
        <v>500</v>
      </c>
      <c r="C160" s="6" t="s">
        <v>501</v>
      </c>
      <c r="D160" s="6" t="s">
        <v>83</v>
      </c>
      <c r="E160" s="6" t="s">
        <v>87</v>
      </c>
      <c r="F160" s="6" t="s">
        <v>88</v>
      </c>
      <c r="G160" s="6">
        <v>7.0</v>
      </c>
      <c r="H160" s="6">
        <v>414.5</v>
      </c>
      <c r="I160" s="6">
        <v>517.89</v>
      </c>
      <c r="J160" s="6">
        <v>13.46</v>
      </c>
      <c r="K160" s="6" t="s">
        <v>24</v>
      </c>
      <c r="L160" s="6" t="s">
        <v>33</v>
      </c>
      <c r="M160" s="6">
        <f t="shared" si="1"/>
        <v>2901.5</v>
      </c>
      <c r="N160" s="6">
        <f t="shared" si="2"/>
        <v>3137.274042</v>
      </c>
      <c r="O160" s="6">
        <f t="shared" si="3"/>
        <v>235.774042</v>
      </c>
      <c r="P160" s="7">
        <f t="shared" si="4"/>
        <v>0.07515251739</v>
      </c>
      <c r="Q160" s="6" t="s">
        <v>34</v>
      </c>
      <c r="R160" s="8">
        <f t="shared" si="5"/>
        <v>487.955958</v>
      </c>
    </row>
    <row r="161" ht="14.25" customHeight="1">
      <c r="A161" s="6" t="s">
        <v>502</v>
      </c>
      <c r="B161" s="6" t="s">
        <v>503</v>
      </c>
      <c r="C161" s="6" t="s">
        <v>504</v>
      </c>
      <c r="D161" s="6" t="s">
        <v>83</v>
      </c>
      <c r="E161" s="6" t="s">
        <v>59</v>
      </c>
      <c r="F161" s="6" t="s">
        <v>60</v>
      </c>
      <c r="G161" s="6">
        <v>2.0</v>
      </c>
      <c r="H161" s="6">
        <v>67.87</v>
      </c>
      <c r="I161" s="6">
        <v>82.14</v>
      </c>
      <c r="J161" s="6">
        <v>17.18</v>
      </c>
      <c r="K161" s="6" t="s">
        <v>24</v>
      </c>
      <c r="L161" s="6" t="s">
        <v>25</v>
      </c>
      <c r="M161" s="6">
        <f t="shared" si="1"/>
        <v>135.74</v>
      </c>
      <c r="N161" s="6">
        <f t="shared" si="2"/>
        <v>136.056696</v>
      </c>
      <c r="O161" s="6">
        <f t="shared" si="3"/>
        <v>0.316696</v>
      </c>
      <c r="P161" s="7">
        <f t="shared" si="4"/>
        <v>0.002327676691</v>
      </c>
      <c r="Q161" s="6" t="s">
        <v>49</v>
      </c>
      <c r="R161" s="8">
        <f t="shared" si="5"/>
        <v>28.223304</v>
      </c>
    </row>
    <row r="162" ht="14.25" customHeight="1">
      <c r="A162" s="6" t="s">
        <v>505</v>
      </c>
      <c r="B162" s="6" t="s">
        <v>506</v>
      </c>
      <c r="C162" s="6" t="s">
        <v>507</v>
      </c>
      <c r="D162" s="6" t="s">
        <v>30</v>
      </c>
      <c r="E162" s="6" t="s">
        <v>53</v>
      </c>
      <c r="F162" s="6" t="s">
        <v>54</v>
      </c>
      <c r="G162" s="6">
        <v>6.0</v>
      </c>
      <c r="H162" s="6">
        <v>121.64</v>
      </c>
      <c r="I162" s="6">
        <v>203.89</v>
      </c>
      <c r="J162" s="6">
        <v>14.61</v>
      </c>
      <c r="K162" s="6" t="s">
        <v>44</v>
      </c>
      <c r="L162" s="6" t="s">
        <v>25</v>
      </c>
      <c r="M162" s="6">
        <f t="shared" si="1"/>
        <v>729.84</v>
      </c>
      <c r="N162" s="6">
        <f t="shared" si="2"/>
        <v>1044.610026</v>
      </c>
      <c r="O162" s="6">
        <f t="shared" si="3"/>
        <v>314.770026</v>
      </c>
      <c r="P162" s="7">
        <f t="shared" si="4"/>
        <v>0.3013277856</v>
      </c>
      <c r="Q162" s="6" t="s">
        <v>49</v>
      </c>
      <c r="R162" s="8">
        <f t="shared" si="5"/>
        <v>178.729974</v>
      </c>
    </row>
    <row r="163" ht="14.25" customHeight="1">
      <c r="A163" s="6" t="s">
        <v>508</v>
      </c>
      <c r="B163" s="6" t="s">
        <v>330</v>
      </c>
      <c r="C163" s="6" t="s">
        <v>509</v>
      </c>
      <c r="D163" s="6" t="s">
        <v>48</v>
      </c>
      <c r="E163" s="6" t="s">
        <v>65</v>
      </c>
      <c r="F163" s="6" t="s">
        <v>66</v>
      </c>
      <c r="G163" s="6">
        <v>2.0</v>
      </c>
      <c r="H163" s="6">
        <v>70.37</v>
      </c>
      <c r="I163" s="6">
        <v>100.35</v>
      </c>
      <c r="J163" s="6">
        <v>16.32</v>
      </c>
      <c r="K163" s="6" t="s">
        <v>24</v>
      </c>
      <c r="L163" s="6" t="s">
        <v>25</v>
      </c>
      <c r="M163" s="6">
        <f t="shared" si="1"/>
        <v>140.74</v>
      </c>
      <c r="N163" s="6">
        <f t="shared" si="2"/>
        <v>167.94576</v>
      </c>
      <c r="O163" s="6">
        <f t="shared" si="3"/>
        <v>27.20576</v>
      </c>
      <c r="P163" s="7">
        <f t="shared" si="4"/>
        <v>0.1619913477</v>
      </c>
      <c r="Q163" s="6" t="s">
        <v>49</v>
      </c>
      <c r="R163" s="8">
        <f t="shared" si="5"/>
        <v>32.75424</v>
      </c>
    </row>
    <row r="164" ht="14.25" customHeight="1">
      <c r="A164" s="6" t="s">
        <v>510</v>
      </c>
      <c r="B164" s="6" t="s">
        <v>511</v>
      </c>
      <c r="C164" s="6" t="s">
        <v>512</v>
      </c>
      <c r="D164" s="6" t="s">
        <v>30</v>
      </c>
      <c r="E164" s="6" t="s">
        <v>31</v>
      </c>
      <c r="F164" s="6" t="s">
        <v>32</v>
      </c>
      <c r="G164" s="6">
        <v>6.0</v>
      </c>
      <c r="H164" s="6">
        <v>95.63</v>
      </c>
      <c r="I164" s="6">
        <v>114.38</v>
      </c>
      <c r="J164" s="6">
        <v>18.9</v>
      </c>
      <c r="K164" s="6" t="s">
        <v>24</v>
      </c>
      <c r="L164" s="6" t="s">
        <v>55</v>
      </c>
      <c r="M164" s="6">
        <f t="shared" si="1"/>
        <v>573.78</v>
      </c>
      <c r="N164" s="6">
        <f t="shared" si="2"/>
        <v>556.57308</v>
      </c>
      <c r="O164" s="6">
        <f t="shared" si="3"/>
        <v>-17.20692</v>
      </c>
      <c r="P164" s="7">
        <f t="shared" si="4"/>
        <v>-0.03091583229</v>
      </c>
      <c r="Q164" s="6" t="s">
        <v>34</v>
      </c>
      <c r="R164" s="8">
        <f t="shared" si="5"/>
        <v>129.70692</v>
      </c>
    </row>
    <row r="165" ht="14.25" customHeight="1">
      <c r="A165" s="6" t="s">
        <v>513</v>
      </c>
      <c r="B165" s="6" t="s">
        <v>514</v>
      </c>
      <c r="C165" s="6" t="s">
        <v>515</v>
      </c>
      <c r="D165" s="6" t="s">
        <v>21</v>
      </c>
      <c r="E165" s="6" t="s">
        <v>65</v>
      </c>
      <c r="F165" s="6" t="s">
        <v>66</v>
      </c>
      <c r="G165" s="6">
        <v>1.0</v>
      </c>
      <c r="H165" s="6">
        <v>469.22</v>
      </c>
      <c r="I165" s="6">
        <v>578.2</v>
      </c>
      <c r="J165" s="6">
        <v>18.4</v>
      </c>
      <c r="K165" s="6" t="s">
        <v>44</v>
      </c>
      <c r="L165" s="6" t="s">
        <v>55</v>
      </c>
      <c r="M165" s="6">
        <f t="shared" si="1"/>
        <v>469.22</v>
      </c>
      <c r="N165" s="6">
        <f t="shared" si="2"/>
        <v>471.8112</v>
      </c>
      <c r="O165" s="6">
        <f t="shared" si="3"/>
        <v>2.5912</v>
      </c>
      <c r="P165" s="7">
        <f t="shared" si="4"/>
        <v>0.005492027319</v>
      </c>
      <c r="Q165" s="6" t="s">
        <v>26</v>
      </c>
      <c r="R165" s="8">
        <f t="shared" si="5"/>
        <v>106.3888</v>
      </c>
    </row>
    <row r="166" ht="14.25" customHeight="1">
      <c r="A166" s="6" t="s">
        <v>516</v>
      </c>
      <c r="B166" s="6" t="s">
        <v>517</v>
      </c>
      <c r="C166" s="6" t="s">
        <v>518</v>
      </c>
      <c r="D166" s="6" t="s">
        <v>30</v>
      </c>
      <c r="E166" s="6" t="s">
        <v>104</v>
      </c>
      <c r="F166" s="6" t="s">
        <v>105</v>
      </c>
      <c r="G166" s="6">
        <v>5.0</v>
      </c>
      <c r="H166" s="6">
        <v>98.06</v>
      </c>
      <c r="I166" s="6">
        <v>163.97</v>
      </c>
      <c r="J166" s="6">
        <v>9.08</v>
      </c>
      <c r="K166" s="6" t="s">
        <v>44</v>
      </c>
      <c r="L166" s="6" t="s">
        <v>61</v>
      </c>
      <c r="M166" s="6">
        <f t="shared" si="1"/>
        <v>490.3</v>
      </c>
      <c r="N166" s="6">
        <f t="shared" si="2"/>
        <v>745.40762</v>
      </c>
      <c r="O166" s="6">
        <f t="shared" si="3"/>
        <v>255.10762</v>
      </c>
      <c r="P166" s="7">
        <f t="shared" si="4"/>
        <v>0.3422390826</v>
      </c>
      <c r="Q166" s="6" t="s">
        <v>40</v>
      </c>
      <c r="R166" s="8">
        <f t="shared" si="5"/>
        <v>74.44238</v>
      </c>
    </row>
    <row r="167" ht="14.25" customHeight="1">
      <c r="A167" s="6" t="s">
        <v>519</v>
      </c>
      <c r="B167" s="6" t="s">
        <v>520</v>
      </c>
      <c r="C167" s="6" t="s">
        <v>521</v>
      </c>
      <c r="D167" s="6" t="s">
        <v>30</v>
      </c>
      <c r="E167" s="6" t="s">
        <v>22</v>
      </c>
      <c r="F167" s="6" t="s">
        <v>23</v>
      </c>
      <c r="G167" s="6">
        <v>4.0</v>
      </c>
      <c r="H167" s="6">
        <v>122.2</v>
      </c>
      <c r="I167" s="6">
        <v>206.0</v>
      </c>
      <c r="J167" s="6">
        <v>10.75</v>
      </c>
      <c r="K167" s="6" t="s">
        <v>24</v>
      </c>
      <c r="L167" s="6" t="s">
        <v>61</v>
      </c>
      <c r="M167" s="6">
        <f t="shared" si="1"/>
        <v>488.8</v>
      </c>
      <c r="N167" s="6">
        <f t="shared" si="2"/>
        <v>735.42</v>
      </c>
      <c r="O167" s="6">
        <f t="shared" si="3"/>
        <v>246.62</v>
      </c>
      <c r="P167" s="7">
        <f t="shared" si="4"/>
        <v>0.3353457888</v>
      </c>
      <c r="Q167" s="6" t="s">
        <v>40</v>
      </c>
      <c r="R167" s="8">
        <f t="shared" si="5"/>
        <v>88.58</v>
      </c>
    </row>
    <row r="168" ht="14.25" customHeight="1">
      <c r="A168" s="6" t="s">
        <v>522</v>
      </c>
      <c r="B168" s="6" t="s">
        <v>523</v>
      </c>
      <c r="C168" s="6" t="s">
        <v>524</v>
      </c>
      <c r="D168" s="6" t="s">
        <v>64</v>
      </c>
      <c r="E168" s="6" t="s">
        <v>65</v>
      </c>
      <c r="F168" s="6" t="s">
        <v>75</v>
      </c>
      <c r="G168" s="6">
        <v>2.0</v>
      </c>
      <c r="H168" s="6">
        <v>352.26</v>
      </c>
      <c r="I168" s="6">
        <v>548.3</v>
      </c>
      <c r="J168" s="6">
        <v>9.09</v>
      </c>
      <c r="K168" s="6" t="s">
        <v>44</v>
      </c>
      <c r="L168" s="6" t="s">
        <v>33</v>
      </c>
      <c r="M168" s="6">
        <f t="shared" si="1"/>
        <v>704.52</v>
      </c>
      <c r="N168" s="6">
        <f t="shared" si="2"/>
        <v>996.91906</v>
      </c>
      <c r="O168" s="6">
        <f t="shared" si="3"/>
        <v>292.39906</v>
      </c>
      <c r="P168" s="7">
        <f t="shared" si="4"/>
        <v>0.293302708</v>
      </c>
      <c r="Q168" s="6" t="s">
        <v>49</v>
      </c>
      <c r="R168" s="8">
        <f t="shared" si="5"/>
        <v>99.68094</v>
      </c>
    </row>
    <row r="169" ht="14.25" customHeight="1">
      <c r="A169" s="6" t="s">
        <v>525</v>
      </c>
      <c r="B169" s="6" t="s">
        <v>526</v>
      </c>
      <c r="C169" s="6" t="s">
        <v>527</v>
      </c>
      <c r="D169" s="6" t="s">
        <v>30</v>
      </c>
      <c r="E169" s="6" t="s">
        <v>38</v>
      </c>
      <c r="F169" s="6" t="s">
        <v>39</v>
      </c>
      <c r="G169" s="6">
        <v>7.0</v>
      </c>
      <c r="H169" s="6">
        <v>313.65</v>
      </c>
      <c r="I169" s="6">
        <v>573.97</v>
      </c>
      <c r="J169" s="6">
        <v>7.39</v>
      </c>
      <c r="K169" s="6" t="s">
        <v>24</v>
      </c>
      <c r="L169" s="6" t="s">
        <v>55</v>
      </c>
      <c r="M169" s="6">
        <f t="shared" si="1"/>
        <v>2195.55</v>
      </c>
      <c r="N169" s="6">
        <f t="shared" si="2"/>
        <v>3720.875319</v>
      </c>
      <c r="O169" s="6">
        <f t="shared" si="3"/>
        <v>1525.325319</v>
      </c>
      <c r="P169" s="7">
        <f t="shared" si="4"/>
        <v>0.4099372293</v>
      </c>
      <c r="Q169" s="6" t="s">
        <v>76</v>
      </c>
      <c r="R169" s="8">
        <f t="shared" si="5"/>
        <v>296.914681</v>
      </c>
    </row>
    <row r="170" ht="14.25" customHeight="1">
      <c r="A170" s="6" t="s">
        <v>528</v>
      </c>
      <c r="B170" s="6" t="s">
        <v>529</v>
      </c>
      <c r="C170" s="6" t="s">
        <v>530</v>
      </c>
      <c r="D170" s="6" t="s">
        <v>48</v>
      </c>
      <c r="E170" s="6" t="s">
        <v>22</v>
      </c>
      <c r="F170" s="6" t="s">
        <v>23</v>
      </c>
      <c r="G170" s="6">
        <v>8.0</v>
      </c>
      <c r="H170" s="6">
        <v>80.32</v>
      </c>
      <c r="I170" s="6">
        <v>140.44</v>
      </c>
      <c r="J170" s="6">
        <v>14.58</v>
      </c>
      <c r="K170" s="6" t="s">
        <v>24</v>
      </c>
      <c r="L170" s="6" t="s">
        <v>25</v>
      </c>
      <c r="M170" s="6">
        <f t="shared" si="1"/>
        <v>642.56</v>
      </c>
      <c r="N170" s="6">
        <f t="shared" si="2"/>
        <v>959.710784</v>
      </c>
      <c r="O170" s="6">
        <f t="shared" si="3"/>
        <v>317.150784</v>
      </c>
      <c r="P170" s="7">
        <f t="shared" si="4"/>
        <v>0.3304649581</v>
      </c>
      <c r="Q170" s="6" t="s">
        <v>34</v>
      </c>
      <c r="R170" s="8">
        <f t="shared" si="5"/>
        <v>163.809216</v>
      </c>
    </row>
    <row r="171" ht="14.25" customHeight="1">
      <c r="A171" s="6" t="s">
        <v>531</v>
      </c>
      <c r="B171" s="6" t="s">
        <v>532</v>
      </c>
      <c r="C171" s="6" t="s">
        <v>533</v>
      </c>
      <c r="D171" s="6" t="s">
        <v>70</v>
      </c>
      <c r="E171" s="6" t="s">
        <v>65</v>
      </c>
      <c r="F171" s="6" t="s">
        <v>75</v>
      </c>
      <c r="G171" s="6">
        <v>4.0</v>
      </c>
      <c r="H171" s="6">
        <v>485.54</v>
      </c>
      <c r="I171" s="6">
        <v>583.47</v>
      </c>
      <c r="J171" s="6">
        <v>20.6</v>
      </c>
      <c r="K171" s="6" t="s">
        <v>44</v>
      </c>
      <c r="L171" s="6" t="s">
        <v>25</v>
      </c>
      <c r="M171" s="6">
        <f t="shared" si="1"/>
        <v>1942.16</v>
      </c>
      <c r="N171" s="6">
        <f t="shared" si="2"/>
        <v>1853.10072</v>
      </c>
      <c r="O171" s="6">
        <f t="shared" si="3"/>
        <v>-89.05928</v>
      </c>
      <c r="P171" s="7">
        <f t="shared" si="4"/>
        <v>-0.04805960034</v>
      </c>
      <c r="Q171" s="6" t="s">
        <v>49</v>
      </c>
      <c r="R171" s="8">
        <f t="shared" si="5"/>
        <v>480.77928</v>
      </c>
    </row>
    <row r="172" ht="14.25" customHeight="1">
      <c r="A172" s="6" t="s">
        <v>534</v>
      </c>
      <c r="B172" s="6" t="s">
        <v>535</v>
      </c>
      <c r="C172" s="6" t="s">
        <v>536</v>
      </c>
      <c r="D172" s="6" t="s">
        <v>21</v>
      </c>
      <c r="E172" s="6" t="s">
        <v>87</v>
      </c>
      <c r="F172" s="6" t="s">
        <v>88</v>
      </c>
      <c r="G172" s="6">
        <v>1.0</v>
      </c>
      <c r="H172" s="6">
        <v>225.24</v>
      </c>
      <c r="I172" s="6">
        <v>409.87</v>
      </c>
      <c r="J172" s="6">
        <v>5.11</v>
      </c>
      <c r="K172" s="6" t="s">
        <v>44</v>
      </c>
      <c r="L172" s="6" t="s">
        <v>33</v>
      </c>
      <c r="M172" s="6">
        <f t="shared" si="1"/>
        <v>225.24</v>
      </c>
      <c r="N172" s="6">
        <f t="shared" si="2"/>
        <v>388.925643</v>
      </c>
      <c r="O172" s="6">
        <f t="shared" si="3"/>
        <v>163.685643</v>
      </c>
      <c r="P172" s="7">
        <f t="shared" si="4"/>
        <v>0.4208661628</v>
      </c>
      <c r="Q172" s="6" t="s">
        <v>26</v>
      </c>
      <c r="R172" s="8">
        <f t="shared" si="5"/>
        <v>20.944357</v>
      </c>
    </row>
    <row r="173" ht="14.25" customHeight="1">
      <c r="A173" s="6" t="s">
        <v>537</v>
      </c>
      <c r="B173" s="6" t="s">
        <v>538</v>
      </c>
      <c r="C173" s="6" t="s">
        <v>539</v>
      </c>
      <c r="D173" s="6" t="s">
        <v>70</v>
      </c>
      <c r="E173" s="6" t="s">
        <v>38</v>
      </c>
      <c r="F173" s="6" t="s">
        <v>39</v>
      </c>
      <c r="G173" s="6">
        <v>5.0</v>
      </c>
      <c r="H173" s="6">
        <v>383.17</v>
      </c>
      <c r="I173" s="6">
        <v>598.04</v>
      </c>
      <c r="J173" s="6">
        <v>5.65</v>
      </c>
      <c r="K173" s="6" t="s">
        <v>44</v>
      </c>
      <c r="L173" s="6" t="s">
        <v>55</v>
      </c>
      <c r="M173" s="6">
        <f t="shared" si="1"/>
        <v>1915.85</v>
      </c>
      <c r="N173" s="6">
        <f t="shared" si="2"/>
        <v>2821.2537</v>
      </c>
      <c r="O173" s="6">
        <f t="shared" si="3"/>
        <v>905.4037</v>
      </c>
      <c r="P173" s="7">
        <f t="shared" si="4"/>
        <v>0.3209224679</v>
      </c>
      <c r="Q173" s="6" t="s">
        <v>40</v>
      </c>
      <c r="R173" s="8">
        <f t="shared" si="5"/>
        <v>168.9463</v>
      </c>
    </row>
    <row r="174" ht="14.25" customHeight="1">
      <c r="A174" s="6" t="s">
        <v>540</v>
      </c>
      <c r="B174" s="6" t="s">
        <v>541</v>
      </c>
      <c r="C174" s="6" t="s">
        <v>542</v>
      </c>
      <c r="D174" s="6" t="s">
        <v>64</v>
      </c>
      <c r="E174" s="6" t="s">
        <v>104</v>
      </c>
      <c r="F174" s="6" t="s">
        <v>105</v>
      </c>
      <c r="G174" s="6">
        <v>5.0</v>
      </c>
      <c r="H174" s="6">
        <v>256.6</v>
      </c>
      <c r="I174" s="6">
        <v>406.46</v>
      </c>
      <c r="J174" s="6">
        <v>1.89</v>
      </c>
      <c r="K174" s="6" t="s">
        <v>24</v>
      </c>
      <c r="L174" s="6" t="s">
        <v>55</v>
      </c>
      <c r="M174" s="6">
        <f t="shared" si="1"/>
        <v>1283</v>
      </c>
      <c r="N174" s="6">
        <f t="shared" si="2"/>
        <v>1993.88953</v>
      </c>
      <c r="O174" s="6">
        <f t="shared" si="3"/>
        <v>710.88953</v>
      </c>
      <c r="P174" s="7">
        <f t="shared" si="4"/>
        <v>0.3565340603</v>
      </c>
      <c r="Q174" s="6" t="s">
        <v>34</v>
      </c>
      <c r="R174" s="8">
        <f t="shared" si="5"/>
        <v>38.41047</v>
      </c>
    </row>
    <row r="175" ht="14.25" customHeight="1">
      <c r="A175" s="6" t="s">
        <v>543</v>
      </c>
      <c r="B175" s="6" t="s">
        <v>544</v>
      </c>
      <c r="C175" s="6" t="s">
        <v>542</v>
      </c>
      <c r="D175" s="6" t="s">
        <v>83</v>
      </c>
      <c r="E175" s="6" t="s">
        <v>104</v>
      </c>
      <c r="F175" s="6" t="s">
        <v>105</v>
      </c>
      <c r="G175" s="6">
        <v>7.0</v>
      </c>
      <c r="H175" s="6">
        <v>86.13</v>
      </c>
      <c r="I175" s="6">
        <v>163.67</v>
      </c>
      <c r="J175" s="6">
        <v>23.55</v>
      </c>
      <c r="K175" s="6" t="s">
        <v>24</v>
      </c>
      <c r="L175" s="6" t="s">
        <v>25</v>
      </c>
      <c r="M175" s="6">
        <f t="shared" si="1"/>
        <v>602.91</v>
      </c>
      <c r="N175" s="6">
        <f t="shared" si="2"/>
        <v>875.880005</v>
      </c>
      <c r="O175" s="6">
        <f t="shared" si="3"/>
        <v>272.970005</v>
      </c>
      <c r="P175" s="7">
        <f t="shared" si="4"/>
        <v>0.3116522851</v>
      </c>
      <c r="Q175" s="6" t="s">
        <v>34</v>
      </c>
      <c r="R175" s="8">
        <f t="shared" si="5"/>
        <v>269.809995</v>
      </c>
    </row>
    <row r="176" ht="14.25" customHeight="1">
      <c r="A176" s="6" t="s">
        <v>545</v>
      </c>
      <c r="B176" s="6" t="s">
        <v>546</v>
      </c>
      <c r="C176" s="6" t="s">
        <v>547</v>
      </c>
      <c r="D176" s="6" t="s">
        <v>21</v>
      </c>
      <c r="E176" s="6" t="s">
        <v>22</v>
      </c>
      <c r="F176" s="6" t="s">
        <v>23</v>
      </c>
      <c r="G176" s="6">
        <v>2.0</v>
      </c>
      <c r="H176" s="6">
        <v>90.34</v>
      </c>
      <c r="I176" s="6">
        <v>106.31</v>
      </c>
      <c r="J176" s="6">
        <v>20.9</v>
      </c>
      <c r="K176" s="6" t="s">
        <v>44</v>
      </c>
      <c r="L176" s="6" t="s">
        <v>61</v>
      </c>
      <c r="M176" s="6">
        <f t="shared" si="1"/>
        <v>180.68</v>
      </c>
      <c r="N176" s="6">
        <f t="shared" si="2"/>
        <v>168.18242</v>
      </c>
      <c r="O176" s="6">
        <f t="shared" si="3"/>
        <v>-12.49758</v>
      </c>
      <c r="P176" s="7">
        <f t="shared" si="4"/>
        <v>-0.07430966923</v>
      </c>
      <c r="Q176" s="6" t="s">
        <v>34</v>
      </c>
      <c r="R176" s="8">
        <f t="shared" si="5"/>
        <v>44.43758</v>
      </c>
    </row>
    <row r="177" ht="14.25" customHeight="1">
      <c r="A177" s="6" t="s">
        <v>548</v>
      </c>
      <c r="B177" s="6" t="s">
        <v>402</v>
      </c>
      <c r="C177" s="6" t="s">
        <v>549</v>
      </c>
      <c r="D177" s="6" t="s">
        <v>30</v>
      </c>
      <c r="E177" s="6" t="s">
        <v>38</v>
      </c>
      <c r="F177" s="6" t="s">
        <v>39</v>
      </c>
      <c r="G177" s="6">
        <v>3.0</v>
      </c>
      <c r="H177" s="6">
        <v>205.8</v>
      </c>
      <c r="I177" s="6">
        <v>278.97</v>
      </c>
      <c r="J177" s="6">
        <v>3.82</v>
      </c>
      <c r="K177" s="6" t="s">
        <v>24</v>
      </c>
      <c r="L177" s="6" t="s">
        <v>61</v>
      </c>
      <c r="M177" s="6">
        <f t="shared" si="1"/>
        <v>617.4</v>
      </c>
      <c r="N177" s="6">
        <f t="shared" si="2"/>
        <v>804.940038</v>
      </c>
      <c r="O177" s="6">
        <f t="shared" si="3"/>
        <v>187.540038</v>
      </c>
      <c r="P177" s="7">
        <f t="shared" si="4"/>
        <v>0.2329863457</v>
      </c>
      <c r="Q177" s="6" t="s">
        <v>76</v>
      </c>
      <c r="R177" s="8">
        <f t="shared" si="5"/>
        <v>31.969962</v>
      </c>
    </row>
    <row r="178" ht="14.25" customHeight="1">
      <c r="A178" s="6" t="s">
        <v>550</v>
      </c>
      <c r="B178" s="6" t="s">
        <v>551</v>
      </c>
      <c r="C178" s="6" t="s">
        <v>552</v>
      </c>
      <c r="D178" s="6" t="s">
        <v>64</v>
      </c>
      <c r="E178" s="6" t="s">
        <v>65</v>
      </c>
      <c r="F178" s="6" t="s">
        <v>66</v>
      </c>
      <c r="G178" s="6">
        <v>8.0</v>
      </c>
      <c r="H178" s="6">
        <v>332.88</v>
      </c>
      <c r="I178" s="6">
        <v>487.82</v>
      </c>
      <c r="J178" s="6">
        <v>8.71</v>
      </c>
      <c r="K178" s="6" t="s">
        <v>24</v>
      </c>
      <c r="L178" s="6" t="s">
        <v>55</v>
      </c>
      <c r="M178" s="6">
        <f t="shared" si="1"/>
        <v>2663.04</v>
      </c>
      <c r="N178" s="6">
        <f t="shared" si="2"/>
        <v>3562.647024</v>
      </c>
      <c r="O178" s="6">
        <f t="shared" si="3"/>
        <v>899.607024</v>
      </c>
      <c r="P178" s="7">
        <f t="shared" si="4"/>
        <v>0.2525108488</v>
      </c>
      <c r="Q178" s="6" t="s">
        <v>49</v>
      </c>
      <c r="R178" s="8">
        <f t="shared" si="5"/>
        <v>339.912976</v>
      </c>
    </row>
    <row r="179" ht="14.25" customHeight="1">
      <c r="A179" s="6" t="s">
        <v>553</v>
      </c>
      <c r="B179" s="6" t="s">
        <v>554</v>
      </c>
      <c r="C179" s="6" t="s">
        <v>552</v>
      </c>
      <c r="D179" s="6" t="s">
        <v>64</v>
      </c>
      <c r="E179" s="6" t="s">
        <v>65</v>
      </c>
      <c r="F179" s="6" t="s">
        <v>75</v>
      </c>
      <c r="G179" s="6">
        <v>3.0</v>
      </c>
      <c r="H179" s="6">
        <v>417.21</v>
      </c>
      <c r="I179" s="6">
        <v>517.13</v>
      </c>
      <c r="J179" s="6">
        <v>4.53</v>
      </c>
      <c r="K179" s="6" t="s">
        <v>44</v>
      </c>
      <c r="L179" s="6" t="s">
        <v>55</v>
      </c>
      <c r="M179" s="6">
        <f t="shared" si="1"/>
        <v>1251.63</v>
      </c>
      <c r="N179" s="6">
        <f t="shared" si="2"/>
        <v>1481.112033</v>
      </c>
      <c r="O179" s="6">
        <f t="shared" si="3"/>
        <v>229.482033</v>
      </c>
      <c r="P179" s="7">
        <f t="shared" si="4"/>
        <v>0.1549390106</v>
      </c>
      <c r="Q179" s="6" t="s">
        <v>26</v>
      </c>
      <c r="R179" s="8">
        <f t="shared" si="5"/>
        <v>70.277967</v>
      </c>
    </row>
    <row r="180" ht="14.25" customHeight="1">
      <c r="A180" s="6" t="s">
        <v>555</v>
      </c>
      <c r="B180" s="6" t="s">
        <v>556</v>
      </c>
      <c r="C180" s="6" t="s">
        <v>557</v>
      </c>
      <c r="D180" s="6" t="s">
        <v>64</v>
      </c>
      <c r="E180" s="6" t="s">
        <v>87</v>
      </c>
      <c r="F180" s="6" t="s">
        <v>88</v>
      </c>
      <c r="G180" s="6">
        <v>8.0</v>
      </c>
      <c r="H180" s="6">
        <v>310.74</v>
      </c>
      <c r="I180" s="6">
        <v>490.57</v>
      </c>
      <c r="J180" s="6">
        <v>14.73</v>
      </c>
      <c r="K180" s="6" t="s">
        <v>44</v>
      </c>
      <c r="L180" s="6" t="s">
        <v>55</v>
      </c>
      <c r="M180" s="6">
        <f t="shared" si="1"/>
        <v>2485.92</v>
      </c>
      <c r="N180" s="6">
        <f t="shared" si="2"/>
        <v>3346.472312</v>
      </c>
      <c r="O180" s="6">
        <f t="shared" si="3"/>
        <v>860.552312</v>
      </c>
      <c r="P180" s="7">
        <f t="shared" si="4"/>
        <v>0.2571520789</v>
      </c>
      <c r="Q180" s="6" t="s">
        <v>34</v>
      </c>
      <c r="R180" s="8">
        <f t="shared" si="5"/>
        <v>578.087688</v>
      </c>
    </row>
    <row r="181" ht="14.25" customHeight="1">
      <c r="A181" s="6" t="s">
        <v>558</v>
      </c>
      <c r="B181" s="6" t="s">
        <v>559</v>
      </c>
      <c r="C181" s="6" t="s">
        <v>560</v>
      </c>
      <c r="D181" s="6" t="s">
        <v>64</v>
      </c>
      <c r="E181" s="6" t="s">
        <v>31</v>
      </c>
      <c r="F181" s="6" t="s">
        <v>32</v>
      </c>
      <c r="G181" s="6">
        <v>1.0</v>
      </c>
      <c r="H181" s="6">
        <v>374.65</v>
      </c>
      <c r="I181" s="6">
        <v>592.6</v>
      </c>
      <c r="J181" s="6">
        <v>9.76</v>
      </c>
      <c r="K181" s="6" t="s">
        <v>44</v>
      </c>
      <c r="L181" s="6" t="s">
        <v>33</v>
      </c>
      <c r="M181" s="6">
        <f t="shared" si="1"/>
        <v>374.65</v>
      </c>
      <c r="N181" s="6">
        <f t="shared" si="2"/>
        <v>534.76224</v>
      </c>
      <c r="O181" s="6">
        <f t="shared" si="3"/>
        <v>160.11224</v>
      </c>
      <c r="P181" s="7">
        <f t="shared" si="4"/>
        <v>0.2994082753</v>
      </c>
      <c r="Q181" s="6" t="s">
        <v>40</v>
      </c>
      <c r="R181" s="8">
        <f t="shared" si="5"/>
        <v>57.83776</v>
      </c>
    </row>
    <row r="182" ht="14.25" customHeight="1">
      <c r="A182" s="6" t="s">
        <v>561</v>
      </c>
      <c r="B182" s="6" t="s">
        <v>562</v>
      </c>
      <c r="C182" s="6" t="s">
        <v>563</v>
      </c>
      <c r="D182" s="6" t="s">
        <v>64</v>
      </c>
      <c r="E182" s="6" t="s">
        <v>31</v>
      </c>
      <c r="F182" s="6" t="s">
        <v>32</v>
      </c>
      <c r="G182" s="6">
        <v>1.0</v>
      </c>
      <c r="H182" s="6">
        <v>192.27</v>
      </c>
      <c r="I182" s="6">
        <v>301.36</v>
      </c>
      <c r="J182" s="6">
        <v>20.24</v>
      </c>
      <c r="K182" s="6" t="s">
        <v>24</v>
      </c>
      <c r="L182" s="6" t="s">
        <v>33</v>
      </c>
      <c r="M182" s="6">
        <f t="shared" si="1"/>
        <v>192.27</v>
      </c>
      <c r="N182" s="6">
        <f t="shared" si="2"/>
        <v>240.364736</v>
      </c>
      <c r="O182" s="6">
        <f t="shared" si="3"/>
        <v>48.094736</v>
      </c>
      <c r="P182" s="7">
        <f t="shared" si="4"/>
        <v>0.2000906489</v>
      </c>
      <c r="Q182" s="6" t="s">
        <v>49</v>
      </c>
      <c r="R182" s="8">
        <f t="shared" si="5"/>
        <v>60.995264</v>
      </c>
    </row>
    <row r="183" ht="14.25" customHeight="1">
      <c r="A183" s="6" t="s">
        <v>564</v>
      </c>
      <c r="B183" s="6" t="s">
        <v>565</v>
      </c>
      <c r="C183" s="6" t="s">
        <v>566</v>
      </c>
      <c r="D183" s="6" t="s">
        <v>21</v>
      </c>
      <c r="E183" s="6" t="s">
        <v>65</v>
      </c>
      <c r="F183" s="6" t="s">
        <v>66</v>
      </c>
      <c r="G183" s="6">
        <v>5.0</v>
      </c>
      <c r="H183" s="6">
        <v>192.14</v>
      </c>
      <c r="I183" s="6">
        <v>241.69</v>
      </c>
      <c r="J183" s="6">
        <v>21.46</v>
      </c>
      <c r="K183" s="6" t="s">
        <v>44</v>
      </c>
      <c r="L183" s="6" t="s">
        <v>55</v>
      </c>
      <c r="M183" s="6">
        <f t="shared" si="1"/>
        <v>960.7</v>
      </c>
      <c r="N183" s="6">
        <f t="shared" si="2"/>
        <v>949.11663</v>
      </c>
      <c r="O183" s="6">
        <f t="shared" si="3"/>
        <v>-11.58337</v>
      </c>
      <c r="P183" s="7">
        <f t="shared" si="4"/>
        <v>-0.01220436945</v>
      </c>
      <c r="Q183" s="6" t="s">
        <v>34</v>
      </c>
      <c r="R183" s="8">
        <f t="shared" si="5"/>
        <v>259.33337</v>
      </c>
    </row>
    <row r="184" ht="14.25" customHeight="1">
      <c r="A184" s="6" t="s">
        <v>567</v>
      </c>
      <c r="B184" s="6" t="s">
        <v>341</v>
      </c>
      <c r="C184" s="6" t="s">
        <v>568</v>
      </c>
      <c r="D184" s="6" t="s">
        <v>64</v>
      </c>
      <c r="E184" s="6" t="s">
        <v>22</v>
      </c>
      <c r="F184" s="6" t="s">
        <v>23</v>
      </c>
      <c r="G184" s="6">
        <v>7.0</v>
      </c>
      <c r="H184" s="6">
        <v>290.73</v>
      </c>
      <c r="I184" s="6">
        <v>385.42</v>
      </c>
      <c r="J184" s="6">
        <v>22.14</v>
      </c>
      <c r="K184" s="6" t="s">
        <v>24</v>
      </c>
      <c r="L184" s="6" t="s">
        <v>55</v>
      </c>
      <c r="M184" s="6">
        <f t="shared" si="1"/>
        <v>2035.11</v>
      </c>
      <c r="N184" s="6">
        <f t="shared" si="2"/>
        <v>2100.616084</v>
      </c>
      <c r="O184" s="6">
        <f t="shared" si="3"/>
        <v>65.506084</v>
      </c>
      <c r="P184" s="7">
        <f t="shared" si="4"/>
        <v>0.03118422471</v>
      </c>
      <c r="Q184" s="6" t="s">
        <v>49</v>
      </c>
      <c r="R184" s="8">
        <f t="shared" si="5"/>
        <v>597.323916</v>
      </c>
    </row>
    <row r="185" ht="14.25" customHeight="1">
      <c r="A185" s="6" t="s">
        <v>569</v>
      </c>
      <c r="B185" s="6" t="s">
        <v>570</v>
      </c>
      <c r="C185" s="6" t="s">
        <v>571</v>
      </c>
      <c r="D185" s="6" t="s">
        <v>70</v>
      </c>
      <c r="E185" s="6" t="s">
        <v>65</v>
      </c>
      <c r="F185" s="6" t="s">
        <v>66</v>
      </c>
      <c r="G185" s="6">
        <v>4.0</v>
      </c>
      <c r="H185" s="6">
        <v>258.6</v>
      </c>
      <c r="I185" s="6">
        <v>310.56</v>
      </c>
      <c r="J185" s="6">
        <v>21.39</v>
      </c>
      <c r="K185" s="6" t="s">
        <v>24</v>
      </c>
      <c r="L185" s="6" t="s">
        <v>55</v>
      </c>
      <c r="M185" s="6">
        <f t="shared" si="1"/>
        <v>1034.4</v>
      </c>
      <c r="N185" s="6">
        <f t="shared" si="2"/>
        <v>976.524864</v>
      </c>
      <c r="O185" s="6">
        <f t="shared" si="3"/>
        <v>-57.875136</v>
      </c>
      <c r="P185" s="7">
        <f t="shared" si="4"/>
        <v>-0.05926642335</v>
      </c>
      <c r="Q185" s="6" t="s">
        <v>49</v>
      </c>
      <c r="R185" s="8">
        <f t="shared" si="5"/>
        <v>265.715136</v>
      </c>
    </row>
    <row r="186" ht="14.25" customHeight="1">
      <c r="A186" s="6" t="s">
        <v>572</v>
      </c>
      <c r="B186" s="6" t="s">
        <v>126</v>
      </c>
      <c r="C186" s="6" t="s">
        <v>573</v>
      </c>
      <c r="D186" s="6" t="s">
        <v>30</v>
      </c>
      <c r="E186" s="6" t="s">
        <v>104</v>
      </c>
      <c r="F186" s="6" t="s">
        <v>105</v>
      </c>
      <c r="G186" s="6">
        <v>3.0</v>
      </c>
      <c r="H186" s="6">
        <v>263.72</v>
      </c>
      <c r="I186" s="6">
        <v>374.63</v>
      </c>
      <c r="J186" s="6">
        <v>24.12</v>
      </c>
      <c r="K186" s="6" t="s">
        <v>44</v>
      </c>
      <c r="L186" s="6" t="s">
        <v>55</v>
      </c>
      <c r="M186" s="6">
        <f t="shared" si="1"/>
        <v>791.16</v>
      </c>
      <c r="N186" s="6">
        <f t="shared" si="2"/>
        <v>852.807732</v>
      </c>
      <c r="O186" s="6">
        <f t="shared" si="3"/>
        <v>61.647732</v>
      </c>
      <c r="P186" s="7">
        <f t="shared" si="4"/>
        <v>0.07228796092</v>
      </c>
      <c r="Q186" s="6" t="s">
        <v>26</v>
      </c>
      <c r="R186" s="8">
        <f t="shared" si="5"/>
        <v>271.082268</v>
      </c>
    </row>
    <row r="187" ht="14.25" customHeight="1">
      <c r="A187" s="6" t="s">
        <v>574</v>
      </c>
      <c r="B187" s="6" t="s">
        <v>99</v>
      </c>
      <c r="C187" s="6" t="s">
        <v>575</v>
      </c>
      <c r="D187" s="6" t="s">
        <v>21</v>
      </c>
      <c r="E187" s="6" t="s">
        <v>104</v>
      </c>
      <c r="F187" s="6" t="s">
        <v>105</v>
      </c>
      <c r="G187" s="6">
        <v>7.0</v>
      </c>
      <c r="H187" s="6">
        <v>262.17</v>
      </c>
      <c r="I187" s="6">
        <v>400.36</v>
      </c>
      <c r="J187" s="6">
        <v>5.43</v>
      </c>
      <c r="K187" s="6" t="s">
        <v>44</v>
      </c>
      <c r="L187" s="6" t="s">
        <v>61</v>
      </c>
      <c r="M187" s="6">
        <f t="shared" si="1"/>
        <v>1835.19</v>
      </c>
      <c r="N187" s="6">
        <f t="shared" si="2"/>
        <v>2650.343164</v>
      </c>
      <c r="O187" s="6">
        <f t="shared" si="3"/>
        <v>815.153164</v>
      </c>
      <c r="P187" s="7">
        <f t="shared" si="4"/>
        <v>0.3075651391</v>
      </c>
      <c r="Q187" s="6" t="s">
        <v>40</v>
      </c>
      <c r="R187" s="8">
        <f t="shared" si="5"/>
        <v>152.176836</v>
      </c>
    </row>
    <row r="188" ht="14.25" customHeight="1">
      <c r="A188" s="6" t="s">
        <v>576</v>
      </c>
      <c r="B188" s="6" t="s">
        <v>577</v>
      </c>
      <c r="C188" s="6" t="s">
        <v>578</v>
      </c>
      <c r="D188" s="6" t="s">
        <v>83</v>
      </c>
      <c r="E188" s="6" t="s">
        <v>31</v>
      </c>
      <c r="F188" s="6" t="s">
        <v>32</v>
      </c>
      <c r="G188" s="6">
        <v>3.0</v>
      </c>
      <c r="H188" s="6">
        <v>443.38</v>
      </c>
      <c r="I188" s="6">
        <v>573.71</v>
      </c>
      <c r="J188" s="6">
        <v>1.88</v>
      </c>
      <c r="K188" s="6" t="s">
        <v>44</v>
      </c>
      <c r="L188" s="6" t="s">
        <v>61</v>
      </c>
      <c r="M188" s="6">
        <f t="shared" si="1"/>
        <v>1330.14</v>
      </c>
      <c r="N188" s="6">
        <f t="shared" si="2"/>
        <v>1688.772756</v>
      </c>
      <c r="O188" s="6">
        <f t="shared" si="3"/>
        <v>358.632756</v>
      </c>
      <c r="P188" s="7">
        <f t="shared" si="4"/>
        <v>0.2123629451</v>
      </c>
      <c r="Q188" s="6" t="s">
        <v>40</v>
      </c>
      <c r="R188" s="8">
        <f t="shared" si="5"/>
        <v>32.357244</v>
      </c>
    </row>
    <row r="189" ht="14.25" customHeight="1">
      <c r="A189" s="6" t="s">
        <v>579</v>
      </c>
      <c r="B189" s="6" t="s">
        <v>580</v>
      </c>
      <c r="C189" s="6" t="s">
        <v>581</v>
      </c>
      <c r="D189" s="6" t="s">
        <v>70</v>
      </c>
      <c r="E189" s="6" t="s">
        <v>38</v>
      </c>
      <c r="F189" s="6" t="s">
        <v>71</v>
      </c>
      <c r="G189" s="6">
        <v>2.0</v>
      </c>
      <c r="H189" s="6">
        <v>98.95</v>
      </c>
      <c r="I189" s="6">
        <v>154.55</v>
      </c>
      <c r="J189" s="6">
        <v>14.76</v>
      </c>
      <c r="K189" s="6" t="s">
        <v>44</v>
      </c>
      <c r="L189" s="6" t="s">
        <v>25</v>
      </c>
      <c r="M189" s="6">
        <f t="shared" si="1"/>
        <v>197.9</v>
      </c>
      <c r="N189" s="6">
        <f t="shared" si="2"/>
        <v>263.47684</v>
      </c>
      <c r="O189" s="6">
        <f t="shared" si="3"/>
        <v>65.57684</v>
      </c>
      <c r="P189" s="7">
        <f t="shared" si="4"/>
        <v>0.2488903389</v>
      </c>
      <c r="Q189" s="6" t="s">
        <v>40</v>
      </c>
      <c r="R189" s="8">
        <f t="shared" si="5"/>
        <v>45.62316</v>
      </c>
    </row>
    <row r="190" ht="14.25" customHeight="1">
      <c r="A190" s="6" t="s">
        <v>582</v>
      </c>
      <c r="B190" s="6" t="s">
        <v>583</v>
      </c>
      <c r="C190" s="6" t="s">
        <v>584</v>
      </c>
      <c r="D190" s="6" t="s">
        <v>70</v>
      </c>
      <c r="E190" s="6" t="s">
        <v>38</v>
      </c>
      <c r="F190" s="6" t="s">
        <v>39</v>
      </c>
      <c r="G190" s="6">
        <v>8.0</v>
      </c>
      <c r="H190" s="6">
        <v>77.44</v>
      </c>
      <c r="I190" s="6">
        <v>108.49</v>
      </c>
      <c r="J190" s="6">
        <v>10.8</v>
      </c>
      <c r="K190" s="6" t="s">
        <v>44</v>
      </c>
      <c r="L190" s="6" t="s">
        <v>25</v>
      </c>
      <c r="M190" s="6">
        <f t="shared" si="1"/>
        <v>619.52</v>
      </c>
      <c r="N190" s="6">
        <f t="shared" si="2"/>
        <v>774.18464</v>
      </c>
      <c r="O190" s="6">
        <f t="shared" si="3"/>
        <v>154.66464</v>
      </c>
      <c r="P190" s="7">
        <f t="shared" si="4"/>
        <v>0.1997774588</v>
      </c>
      <c r="Q190" s="6" t="s">
        <v>40</v>
      </c>
      <c r="R190" s="8">
        <f t="shared" si="5"/>
        <v>93.73536</v>
      </c>
    </row>
    <row r="191" ht="14.25" customHeight="1">
      <c r="A191" s="6" t="s">
        <v>585</v>
      </c>
      <c r="B191" s="6" t="s">
        <v>586</v>
      </c>
      <c r="C191" s="6" t="s">
        <v>587</v>
      </c>
      <c r="D191" s="6" t="s">
        <v>30</v>
      </c>
      <c r="E191" s="6" t="s">
        <v>104</v>
      </c>
      <c r="F191" s="6" t="s">
        <v>105</v>
      </c>
      <c r="G191" s="6">
        <v>8.0</v>
      </c>
      <c r="H191" s="6">
        <v>74.08</v>
      </c>
      <c r="I191" s="6">
        <v>116.83</v>
      </c>
      <c r="J191" s="6">
        <v>18.27</v>
      </c>
      <c r="K191" s="6" t="s">
        <v>24</v>
      </c>
      <c r="L191" s="6" t="s">
        <v>55</v>
      </c>
      <c r="M191" s="6">
        <f t="shared" si="1"/>
        <v>592.64</v>
      </c>
      <c r="N191" s="6">
        <f t="shared" si="2"/>
        <v>763.881272</v>
      </c>
      <c r="O191" s="6">
        <f t="shared" si="3"/>
        <v>171.241272</v>
      </c>
      <c r="P191" s="7">
        <f t="shared" si="4"/>
        <v>0.2241726277</v>
      </c>
      <c r="Q191" s="6" t="s">
        <v>40</v>
      </c>
      <c r="R191" s="8">
        <f t="shared" si="5"/>
        <v>170.758728</v>
      </c>
    </row>
    <row r="192" ht="14.25" customHeight="1">
      <c r="A192" s="6" t="s">
        <v>588</v>
      </c>
      <c r="B192" s="6" t="s">
        <v>589</v>
      </c>
      <c r="C192" s="6" t="s">
        <v>590</v>
      </c>
      <c r="D192" s="6" t="s">
        <v>70</v>
      </c>
      <c r="E192" s="6" t="s">
        <v>38</v>
      </c>
      <c r="F192" s="6" t="s">
        <v>71</v>
      </c>
      <c r="G192" s="6">
        <v>1.0</v>
      </c>
      <c r="H192" s="6">
        <v>272.71</v>
      </c>
      <c r="I192" s="6">
        <v>465.61</v>
      </c>
      <c r="J192" s="6">
        <v>3.49</v>
      </c>
      <c r="K192" s="6" t="s">
        <v>44</v>
      </c>
      <c r="L192" s="6" t="s">
        <v>61</v>
      </c>
      <c r="M192" s="6">
        <f t="shared" si="1"/>
        <v>272.71</v>
      </c>
      <c r="N192" s="6">
        <f t="shared" si="2"/>
        <v>449.360211</v>
      </c>
      <c r="O192" s="6">
        <f t="shared" si="3"/>
        <v>176.650211</v>
      </c>
      <c r="P192" s="7">
        <f t="shared" si="4"/>
        <v>0.3931149369</v>
      </c>
      <c r="Q192" s="6" t="s">
        <v>49</v>
      </c>
      <c r="R192" s="8">
        <f t="shared" si="5"/>
        <v>16.249789</v>
      </c>
    </row>
    <row r="193" ht="14.25" customHeight="1">
      <c r="A193" s="6" t="s">
        <v>591</v>
      </c>
      <c r="B193" s="6" t="s">
        <v>592</v>
      </c>
      <c r="C193" s="6" t="s">
        <v>590</v>
      </c>
      <c r="D193" s="6" t="s">
        <v>48</v>
      </c>
      <c r="E193" s="6" t="s">
        <v>65</v>
      </c>
      <c r="F193" s="6" t="s">
        <v>75</v>
      </c>
      <c r="G193" s="6">
        <v>4.0</v>
      </c>
      <c r="H193" s="6">
        <v>241.27</v>
      </c>
      <c r="I193" s="6">
        <v>471.87</v>
      </c>
      <c r="J193" s="6">
        <v>20.35</v>
      </c>
      <c r="K193" s="6" t="s">
        <v>44</v>
      </c>
      <c r="L193" s="6" t="s">
        <v>61</v>
      </c>
      <c r="M193" s="6">
        <f t="shared" si="1"/>
        <v>965.08</v>
      </c>
      <c r="N193" s="6">
        <f t="shared" si="2"/>
        <v>1503.37782</v>
      </c>
      <c r="O193" s="6">
        <f t="shared" si="3"/>
        <v>538.29782</v>
      </c>
      <c r="P193" s="7">
        <f t="shared" si="4"/>
        <v>0.3580589076</v>
      </c>
      <c r="Q193" s="6" t="s">
        <v>76</v>
      </c>
      <c r="R193" s="8">
        <f t="shared" si="5"/>
        <v>384.10218</v>
      </c>
    </row>
    <row r="194" ht="14.25" customHeight="1">
      <c r="A194" s="6" t="s">
        <v>593</v>
      </c>
      <c r="B194" s="6" t="s">
        <v>594</v>
      </c>
      <c r="C194" s="6" t="s">
        <v>595</v>
      </c>
      <c r="D194" s="6" t="s">
        <v>30</v>
      </c>
      <c r="E194" s="6" t="s">
        <v>38</v>
      </c>
      <c r="F194" s="6" t="s">
        <v>39</v>
      </c>
      <c r="G194" s="6">
        <v>5.0</v>
      </c>
      <c r="H194" s="6">
        <v>67.77</v>
      </c>
      <c r="I194" s="6">
        <v>123.14</v>
      </c>
      <c r="J194" s="6">
        <v>0.58</v>
      </c>
      <c r="K194" s="6" t="s">
        <v>24</v>
      </c>
      <c r="L194" s="6" t="s">
        <v>25</v>
      </c>
      <c r="M194" s="6">
        <f t="shared" si="1"/>
        <v>338.85</v>
      </c>
      <c r="N194" s="6">
        <f t="shared" si="2"/>
        <v>612.12894</v>
      </c>
      <c r="O194" s="6">
        <f t="shared" si="3"/>
        <v>273.27894</v>
      </c>
      <c r="P194" s="7">
        <f t="shared" si="4"/>
        <v>0.4464401569</v>
      </c>
      <c r="Q194" s="6" t="s">
        <v>49</v>
      </c>
      <c r="R194" s="8">
        <f t="shared" si="5"/>
        <v>3.57106</v>
      </c>
    </row>
    <row r="195" ht="14.25" customHeight="1">
      <c r="A195" s="6" t="s">
        <v>596</v>
      </c>
      <c r="B195" s="6" t="s">
        <v>597</v>
      </c>
      <c r="C195" s="6" t="s">
        <v>598</v>
      </c>
      <c r="D195" s="6" t="s">
        <v>21</v>
      </c>
      <c r="E195" s="6" t="s">
        <v>65</v>
      </c>
      <c r="F195" s="6" t="s">
        <v>75</v>
      </c>
      <c r="G195" s="6">
        <v>1.0</v>
      </c>
      <c r="H195" s="6">
        <v>296.59</v>
      </c>
      <c r="I195" s="6">
        <v>427.29</v>
      </c>
      <c r="J195" s="6">
        <v>23.29</v>
      </c>
      <c r="K195" s="6" t="s">
        <v>24</v>
      </c>
      <c r="L195" s="6" t="s">
        <v>25</v>
      </c>
      <c r="M195" s="6">
        <f t="shared" si="1"/>
        <v>296.59</v>
      </c>
      <c r="N195" s="6">
        <f t="shared" si="2"/>
        <v>327.774159</v>
      </c>
      <c r="O195" s="6">
        <f t="shared" si="3"/>
        <v>31.184159</v>
      </c>
      <c r="P195" s="7">
        <f t="shared" si="4"/>
        <v>0.09513916257</v>
      </c>
      <c r="Q195" s="6" t="s">
        <v>49</v>
      </c>
      <c r="R195" s="8">
        <f t="shared" si="5"/>
        <v>99.515841</v>
      </c>
    </row>
    <row r="196" ht="14.25" customHeight="1">
      <c r="A196" s="6" t="s">
        <v>599</v>
      </c>
      <c r="B196" s="6" t="s">
        <v>600</v>
      </c>
      <c r="C196" s="6" t="s">
        <v>601</v>
      </c>
      <c r="D196" s="6" t="s">
        <v>21</v>
      </c>
      <c r="E196" s="6" t="s">
        <v>53</v>
      </c>
      <c r="F196" s="6" t="s">
        <v>54</v>
      </c>
      <c r="G196" s="6">
        <v>6.0</v>
      </c>
      <c r="H196" s="6">
        <v>321.29</v>
      </c>
      <c r="I196" s="6">
        <v>430.74</v>
      </c>
      <c r="J196" s="6">
        <v>10.68</v>
      </c>
      <c r="K196" s="6" t="s">
        <v>44</v>
      </c>
      <c r="L196" s="6" t="s">
        <v>61</v>
      </c>
      <c r="M196" s="6">
        <f t="shared" si="1"/>
        <v>1927.74</v>
      </c>
      <c r="N196" s="6">
        <f t="shared" si="2"/>
        <v>2308.421808</v>
      </c>
      <c r="O196" s="6">
        <f t="shared" si="3"/>
        <v>380.681808</v>
      </c>
      <c r="P196" s="7">
        <f t="shared" si="4"/>
        <v>0.164909986</v>
      </c>
      <c r="Q196" s="6" t="s">
        <v>26</v>
      </c>
      <c r="R196" s="8">
        <f t="shared" si="5"/>
        <v>276.018192</v>
      </c>
    </row>
    <row r="197" ht="14.25" customHeight="1">
      <c r="A197" s="6" t="s">
        <v>602</v>
      </c>
      <c r="B197" s="6" t="s">
        <v>603</v>
      </c>
      <c r="C197" s="6" t="s">
        <v>604</v>
      </c>
      <c r="D197" s="6" t="s">
        <v>64</v>
      </c>
      <c r="E197" s="6" t="s">
        <v>87</v>
      </c>
      <c r="F197" s="6" t="s">
        <v>88</v>
      </c>
      <c r="G197" s="6">
        <v>3.0</v>
      </c>
      <c r="H197" s="6">
        <v>101.82</v>
      </c>
      <c r="I197" s="6">
        <v>120.67</v>
      </c>
      <c r="J197" s="6">
        <v>6.48</v>
      </c>
      <c r="K197" s="6" t="s">
        <v>44</v>
      </c>
      <c r="L197" s="6" t="s">
        <v>25</v>
      </c>
      <c r="M197" s="6">
        <f t="shared" si="1"/>
        <v>305.46</v>
      </c>
      <c r="N197" s="6">
        <f t="shared" si="2"/>
        <v>338.551752</v>
      </c>
      <c r="O197" s="6">
        <f t="shared" si="3"/>
        <v>33.091752</v>
      </c>
      <c r="P197" s="7">
        <f t="shared" si="4"/>
        <v>0.09774503249</v>
      </c>
      <c r="Q197" s="6" t="s">
        <v>34</v>
      </c>
      <c r="R197" s="8">
        <f t="shared" si="5"/>
        <v>23.458248</v>
      </c>
    </row>
    <row r="198" ht="14.25" customHeight="1">
      <c r="A198" s="6" t="s">
        <v>605</v>
      </c>
      <c r="B198" s="6" t="s">
        <v>606</v>
      </c>
      <c r="C198" s="6" t="s">
        <v>607</v>
      </c>
      <c r="D198" s="6" t="s">
        <v>64</v>
      </c>
      <c r="E198" s="6" t="s">
        <v>59</v>
      </c>
      <c r="F198" s="6" t="s">
        <v>60</v>
      </c>
      <c r="G198" s="6">
        <v>4.0</v>
      </c>
      <c r="H198" s="6">
        <v>116.09</v>
      </c>
      <c r="I198" s="6">
        <v>156.74</v>
      </c>
      <c r="J198" s="6">
        <v>22.32</v>
      </c>
      <c r="K198" s="6" t="s">
        <v>44</v>
      </c>
      <c r="L198" s="6" t="s">
        <v>33</v>
      </c>
      <c r="M198" s="6">
        <f t="shared" si="1"/>
        <v>464.36</v>
      </c>
      <c r="N198" s="6">
        <f t="shared" si="2"/>
        <v>487.022528</v>
      </c>
      <c r="O198" s="6">
        <f t="shared" si="3"/>
        <v>22.662528</v>
      </c>
      <c r="P198" s="7">
        <f t="shared" si="4"/>
        <v>0.04653281254</v>
      </c>
      <c r="Q198" s="6" t="s">
        <v>26</v>
      </c>
      <c r="R198" s="8">
        <f t="shared" si="5"/>
        <v>139.937472</v>
      </c>
    </row>
    <row r="199" ht="14.25" customHeight="1">
      <c r="A199" s="6" t="s">
        <v>608</v>
      </c>
      <c r="B199" s="6" t="s">
        <v>609</v>
      </c>
      <c r="C199" s="6" t="s">
        <v>610</v>
      </c>
      <c r="D199" s="6" t="s">
        <v>30</v>
      </c>
      <c r="E199" s="6" t="s">
        <v>38</v>
      </c>
      <c r="F199" s="6" t="s">
        <v>39</v>
      </c>
      <c r="G199" s="6">
        <v>6.0</v>
      </c>
      <c r="H199" s="6">
        <v>54.91</v>
      </c>
      <c r="I199" s="6">
        <v>83.06</v>
      </c>
      <c r="J199" s="6">
        <v>7.46</v>
      </c>
      <c r="K199" s="6" t="s">
        <v>24</v>
      </c>
      <c r="L199" s="6" t="s">
        <v>33</v>
      </c>
      <c r="M199" s="6">
        <f t="shared" si="1"/>
        <v>329.46</v>
      </c>
      <c r="N199" s="6">
        <f t="shared" si="2"/>
        <v>461.182344</v>
      </c>
      <c r="O199" s="6">
        <f t="shared" si="3"/>
        <v>131.722344</v>
      </c>
      <c r="P199" s="7">
        <f t="shared" si="4"/>
        <v>0.285618792</v>
      </c>
      <c r="Q199" s="6" t="s">
        <v>34</v>
      </c>
      <c r="R199" s="8">
        <f t="shared" si="5"/>
        <v>37.177656</v>
      </c>
    </row>
    <row r="200" ht="14.25" customHeight="1">
      <c r="A200" s="6" t="s">
        <v>611</v>
      </c>
      <c r="B200" s="6" t="s">
        <v>390</v>
      </c>
      <c r="C200" s="6" t="s">
        <v>612</v>
      </c>
      <c r="D200" s="6" t="s">
        <v>64</v>
      </c>
      <c r="E200" s="6" t="s">
        <v>31</v>
      </c>
      <c r="F200" s="6" t="s">
        <v>32</v>
      </c>
      <c r="G200" s="6">
        <v>1.0</v>
      </c>
      <c r="H200" s="6">
        <v>74.53</v>
      </c>
      <c r="I200" s="6">
        <v>111.63</v>
      </c>
      <c r="J200" s="6">
        <v>10.04</v>
      </c>
      <c r="K200" s="6" t="s">
        <v>24</v>
      </c>
      <c r="L200" s="6" t="s">
        <v>25</v>
      </c>
      <c r="M200" s="6">
        <f t="shared" si="1"/>
        <v>74.53</v>
      </c>
      <c r="N200" s="6">
        <f t="shared" si="2"/>
        <v>100.422348</v>
      </c>
      <c r="O200" s="6">
        <f t="shared" si="3"/>
        <v>25.892348</v>
      </c>
      <c r="P200" s="7">
        <f t="shared" si="4"/>
        <v>0.2578345211</v>
      </c>
      <c r="Q200" s="6" t="s">
        <v>49</v>
      </c>
      <c r="R200" s="8">
        <f t="shared" si="5"/>
        <v>11.207652</v>
      </c>
    </row>
    <row r="201" ht="14.25" customHeight="1">
      <c r="A201" s="6" t="s">
        <v>613</v>
      </c>
      <c r="B201" s="6" t="s">
        <v>614</v>
      </c>
      <c r="C201" s="6" t="s">
        <v>615</v>
      </c>
      <c r="D201" s="6" t="s">
        <v>70</v>
      </c>
      <c r="E201" s="6" t="s">
        <v>65</v>
      </c>
      <c r="F201" s="6" t="s">
        <v>75</v>
      </c>
      <c r="G201" s="6">
        <v>4.0</v>
      </c>
      <c r="H201" s="6">
        <v>109.86</v>
      </c>
      <c r="I201" s="6">
        <v>209.76</v>
      </c>
      <c r="J201" s="6">
        <v>6.42</v>
      </c>
      <c r="K201" s="6" t="s">
        <v>44</v>
      </c>
      <c r="L201" s="6" t="s">
        <v>25</v>
      </c>
      <c r="M201" s="6">
        <f t="shared" si="1"/>
        <v>439.44</v>
      </c>
      <c r="N201" s="6">
        <f t="shared" si="2"/>
        <v>785.173632</v>
      </c>
      <c r="O201" s="6">
        <f t="shared" si="3"/>
        <v>345.733632</v>
      </c>
      <c r="P201" s="7">
        <f t="shared" si="4"/>
        <v>0.4403276141</v>
      </c>
      <c r="Q201" s="6" t="s">
        <v>34</v>
      </c>
      <c r="R201" s="8">
        <f t="shared" si="5"/>
        <v>53.866368</v>
      </c>
    </row>
    <row r="202" ht="14.25" customHeight="1">
      <c r="A202" s="6" t="s">
        <v>616</v>
      </c>
      <c r="B202" s="6" t="s">
        <v>617</v>
      </c>
      <c r="C202" s="6" t="s">
        <v>618</v>
      </c>
      <c r="D202" s="6" t="s">
        <v>21</v>
      </c>
      <c r="E202" s="6" t="s">
        <v>65</v>
      </c>
      <c r="F202" s="6" t="s">
        <v>75</v>
      </c>
      <c r="G202" s="6">
        <v>4.0</v>
      </c>
      <c r="H202" s="6">
        <v>67.85</v>
      </c>
      <c r="I202" s="6">
        <v>118.84</v>
      </c>
      <c r="J202" s="6">
        <v>19.5</v>
      </c>
      <c r="K202" s="6" t="s">
        <v>44</v>
      </c>
      <c r="L202" s="6" t="s">
        <v>33</v>
      </c>
      <c r="M202" s="6">
        <f t="shared" si="1"/>
        <v>271.4</v>
      </c>
      <c r="N202" s="6">
        <f t="shared" si="2"/>
        <v>382.6648</v>
      </c>
      <c r="O202" s="6">
        <f t="shared" si="3"/>
        <v>111.2648</v>
      </c>
      <c r="P202" s="7">
        <f t="shared" si="4"/>
        <v>0.2907630908</v>
      </c>
      <c r="Q202" s="6" t="s">
        <v>34</v>
      </c>
      <c r="R202" s="8">
        <f t="shared" si="5"/>
        <v>92.6952</v>
      </c>
    </row>
    <row r="203" ht="14.25" customHeight="1">
      <c r="A203" s="6" t="s">
        <v>619</v>
      </c>
      <c r="B203" s="6" t="s">
        <v>620</v>
      </c>
      <c r="C203" s="6" t="s">
        <v>621</v>
      </c>
      <c r="D203" s="6" t="s">
        <v>64</v>
      </c>
      <c r="E203" s="6" t="s">
        <v>38</v>
      </c>
      <c r="F203" s="6" t="s">
        <v>71</v>
      </c>
      <c r="G203" s="6">
        <v>2.0</v>
      </c>
      <c r="H203" s="6">
        <v>253.05</v>
      </c>
      <c r="I203" s="6">
        <v>327.65</v>
      </c>
      <c r="J203" s="6">
        <v>12.83</v>
      </c>
      <c r="K203" s="6" t="s">
        <v>44</v>
      </c>
      <c r="L203" s="6" t="s">
        <v>25</v>
      </c>
      <c r="M203" s="6">
        <f t="shared" si="1"/>
        <v>506.1</v>
      </c>
      <c r="N203" s="6">
        <f t="shared" si="2"/>
        <v>571.22501</v>
      </c>
      <c r="O203" s="6">
        <f t="shared" si="3"/>
        <v>65.12501</v>
      </c>
      <c r="P203" s="7">
        <f t="shared" si="4"/>
        <v>0.1140093813</v>
      </c>
      <c r="Q203" s="6" t="s">
        <v>26</v>
      </c>
      <c r="R203" s="8">
        <f t="shared" si="5"/>
        <v>84.07499</v>
      </c>
    </row>
    <row r="204" ht="14.25" customHeight="1">
      <c r="A204" s="6" t="s">
        <v>622</v>
      </c>
      <c r="B204" s="6" t="s">
        <v>623</v>
      </c>
      <c r="C204" s="6" t="s">
        <v>624</v>
      </c>
      <c r="D204" s="6" t="s">
        <v>70</v>
      </c>
      <c r="E204" s="6" t="s">
        <v>104</v>
      </c>
      <c r="F204" s="6" t="s">
        <v>105</v>
      </c>
      <c r="G204" s="6">
        <v>4.0</v>
      </c>
      <c r="H204" s="6">
        <v>175.28</v>
      </c>
      <c r="I204" s="6">
        <v>214.86</v>
      </c>
      <c r="J204" s="6">
        <v>10.22</v>
      </c>
      <c r="K204" s="6" t="s">
        <v>44</v>
      </c>
      <c r="L204" s="6" t="s">
        <v>25</v>
      </c>
      <c r="M204" s="6">
        <f t="shared" si="1"/>
        <v>701.12</v>
      </c>
      <c r="N204" s="6">
        <f t="shared" si="2"/>
        <v>771.605232</v>
      </c>
      <c r="O204" s="6">
        <f t="shared" si="3"/>
        <v>70.485232</v>
      </c>
      <c r="P204" s="7">
        <f t="shared" si="4"/>
        <v>0.0913488259</v>
      </c>
      <c r="Q204" s="6" t="s">
        <v>40</v>
      </c>
      <c r="R204" s="8">
        <f t="shared" si="5"/>
        <v>87.834768</v>
      </c>
    </row>
    <row r="205" ht="14.25" customHeight="1">
      <c r="A205" s="6" t="s">
        <v>625</v>
      </c>
      <c r="B205" s="6" t="s">
        <v>206</v>
      </c>
      <c r="C205" s="6" t="s">
        <v>626</v>
      </c>
      <c r="D205" s="6" t="s">
        <v>64</v>
      </c>
      <c r="E205" s="6" t="s">
        <v>65</v>
      </c>
      <c r="F205" s="6" t="s">
        <v>66</v>
      </c>
      <c r="G205" s="6">
        <v>3.0</v>
      </c>
      <c r="H205" s="6">
        <v>253.97</v>
      </c>
      <c r="I205" s="6">
        <v>446.1</v>
      </c>
      <c r="J205" s="6">
        <v>4.55</v>
      </c>
      <c r="K205" s="6" t="s">
        <v>44</v>
      </c>
      <c r="L205" s="6" t="s">
        <v>33</v>
      </c>
      <c r="M205" s="6">
        <f t="shared" si="1"/>
        <v>761.91</v>
      </c>
      <c r="N205" s="6">
        <f t="shared" si="2"/>
        <v>1277.40735</v>
      </c>
      <c r="O205" s="6">
        <f t="shared" si="3"/>
        <v>515.49735</v>
      </c>
      <c r="P205" s="7">
        <f t="shared" si="4"/>
        <v>0.4035496978</v>
      </c>
      <c r="Q205" s="6" t="s">
        <v>76</v>
      </c>
      <c r="R205" s="8">
        <f t="shared" si="5"/>
        <v>60.89265</v>
      </c>
    </row>
    <row r="206" ht="14.25" customHeight="1">
      <c r="A206" s="6" t="s">
        <v>627</v>
      </c>
      <c r="B206" s="6" t="s">
        <v>614</v>
      </c>
      <c r="C206" s="6" t="s">
        <v>628</v>
      </c>
      <c r="D206" s="6" t="s">
        <v>21</v>
      </c>
      <c r="E206" s="6" t="s">
        <v>104</v>
      </c>
      <c r="F206" s="6" t="s">
        <v>105</v>
      </c>
      <c r="G206" s="6">
        <v>6.0</v>
      </c>
      <c r="H206" s="6">
        <v>339.32</v>
      </c>
      <c r="I206" s="6">
        <v>527.05</v>
      </c>
      <c r="J206" s="6">
        <v>3.93</v>
      </c>
      <c r="K206" s="6" t="s">
        <v>24</v>
      </c>
      <c r="L206" s="6" t="s">
        <v>61</v>
      </c>
      <c r="M206" s="6">
        <f t="shared" si="1"/>
        <v>2035.92</v>
      </c>
      <c r="N206" s="6">
        <f t="shared" si="2"/>
        <v>3038.02161</v>
      </c>
      <c r="O206" s="6">
        <f t="shared" si="3"/>
        <v>1002.10161</v>
      </c>
      <c r="P206" s="7">
        <f t="shared" si="4"/>
        <v>0.3298533515</v>
      </c>
      <c r="Q206" s="6" t="s">
        <v>49</v>
      </c>
      <c r="R206" s="8">
        <f t="shared" si="5"/>
        <v>124.27839</v>
      </c>
    </row>
    <row r="207" ht="14.25" customHeight="1">
      <c r="A207" s="6" t="s">
        <v>629</v>
      </c>
      <c r="B207" s="6" t="s">
        <v>630</v>
      </c>
      <c r="C207" s="6" t="s">
        <v>631</v>
      </c>
      <c r="D207" s="6" t="s">
        <v>83</v>
      </c>
      <c r="E207" s="6" t="s">
        <v>38</v>
      </c>
      <c r="F207" s="6" t="s">
        <v>71</v>
      </c>
      <c r="G207" s="6">
        <v>1.0</v>
      </c>
      <c r="H207" s="6">
        <v>280.79</v>
      </c>
      <c r="I207" s="6">
        <v>512.35</v>
      </c>
      <c r="J207" s="6">
        <v>16.37</v>
      </c>
      <c r="K207" s="6" t="s">
        <v>44</v>
      </c>
      <c r="L207" s="6" t="s">
        <v>55</v>
      </c>
      <c r="M207" s="6">
        <f t="shared" si="1"/>
        <v>280.79</v>
      </c>
      <c r="N207" s="6">
        <f t="shared" si="2"/>
        <v>428.478305</v>
      </c>
      <c r="O207" s="6">
        <f t="shared" si="3"/>
        <v>147.688305</v>
      </c>
      <c r="P207" s="7">
        <f t="shared" si="4"/>
        <v>0.3446809401</v>
      </c>
      <c r="Q207" s="6" t="s">
        <v>34</v>
      </c>
      <c r="R207" s="8">
        <f t="shared" si="5"/>
        <v>83.871695</v>
      </c>
    </row>
    <row r="208" ht="14.25" customHeight="1">
      <c r="A208" s="6" t="s">
        <v>632</v>
      </c>
      <c r="B208" s="6" t="s">
        <v>633</v>
      </c>
      <c r="C208" s="6" t="s">
        <v>634</v>
      </c>
      <c r="D208" s="6" t="s">
        <v>70</v>
      </c>
      <c r="E208" s="6" t="s">
        <v>104</v>
      </c>
      <c r="F208" s="6" t="s">
        <v>105</v>
      </c>
      <c r="G208" s="6">
        <v>5.0</v>
      </c>
      <c r="H208" s="6">
        <v>304.72</v>
      </c>
      <c r="I208" s="6">
        <v>578.29</v>
      </c>
      <c r="J208" s="6">
        <v>4.12</v>
      </c>
      <c r="K208" s="6" t="s">
        <v>44</v>
      </c>
      <c r="L208" s="6" t="s">
        <v>61</v>
      </c>
      <c r="M208" s="6">
        <f t="shared" si="1"/>
        <v>1523.6</v>
      </c>
      <c r="N208" s="6">
        <f t="shared" si="2"/>
        <v>2772.32226</v>
      </c>
      <c r="O208" s="6">
        <f t="shared" si="3"/>
        <v>1248.72226</v>
      </c>
      <c r="P208" s="7">
        <f t="shared" si="4"/>
        <v>0.4504246415</v>
      </c>
      <c r="Q208" s="6" t="s">
        <v>76</v>
      </c>
      <c r="R208" s="8">
        <f t="shared" si="5"/>
        <v>119.12774</v>
      </c>
    </row>
    <row r="209" ht="14.25" customHeight="1">
      <c r="A209" s="6" t="s">
        <v>635</v>
      </c>
      <c r="B209" s="6" t="s">
        <v>245</v>
      </c>
      <c r="C209" s="6" t="s">
        <v>636</v>
      </c>
      <c r="D209" s="6" t="s">
        <v>30</v>
      </c>
      <c r="E209" s="6" t="s">
        <v>53</v>
      </c>
      <c r="F209" s="6" t="s">
        <v>54</v>
      </c>
      <c r="G209" s="6">
        <v>2.0</v>
      </c>
      <c r="H209" s="6">
        <v>241.93</v>
      </c>
      <c r="I209" s="6">
        <v>353.26</v>
      </c>
      <c r="J209" s="6">
        <v>9.04</v>
      </c>
      <c r="K209" s="6" t="s">
        <v>44</v>
      </c>
      <c r="L209" s="6" t="s">
        <v>33</v>
      </c>
      <c r="M209" s="6">
        <f t="shared" si="1"/>
        <v>483.86</v>
      </c>
      <c r="N209" s="6">
        <f t="shared" si="2"/>
        <v>642.650592</v>
      </c>
      <c r="O209" s="6">
        <f t="shared" si="3"/>
        <v>158.790592</v>
      </c>
      <c r="P209" s="7">
        <f t="shared" si="4"/>
        <v>0.2470869769</v>
      </c>
      <c r="Q209" s="6" t="s">
        <v>76</v>
      </c>
      <c r="R209" s="8">
        <f t="shared" si="5"/>
        <v>63.869408</v>
      </c>
    </row>
    <row r="210" ht="14.25" customHeight="1">
      <c r="A210" s="6" t="s">
        <v>637</v>
      </c>
      <c r="B210" s="6" t="s">
        <v>638</v>
      </c>
      <c r="C210" s="6" t="s">
        <v>639</v>
      </c>
      <c r="D210" s="6" t="s">
        <v>21</v>
      </c>
      <c r="E210" s="6" t="s">
        <v>65</v>
      </c>
      <c r="F210" s="6" t="s">
        <v>75</v>
      </c>
      <c r="G210" s="6">
        <v>4.0</v>
      </c>
      <c r="H210" s="6">
        <v>138.59</v>
      </c>
      <c r="I210" s="6">
        <v>267.42</v>
      </c>
      <c r="J210" s="6">
        <v>16.67</v>
      </c>
      <c r="K210" s="6" t="s">
        <v>24</v>
      </c>
      <c r="L210" s="6" t="s">
        <v>55</v>
      </c>
      <c r="M210" s="6">
        <f t="shared" si="1"/>
        <v>554.36</v>
      </c>
      <c r="N210" s="6">
        <f t="shared" si="2"/>
        <v>891.364344</v>
      </c>
      <c r="O210" s="6">
        <f t="shared" si="3"/>
        <v>337.004344</v>
      </c>
      <c r="P210" s="7">
        <f t="shared" si="4"/>
        <v>0.3780769853</v>
      </c>
      <c r="Q210" s="6" t="s">
        <v>49</v>
      </c>
      <c r="R210" s="8">
        <f t="shared" si="5"/>
        <v>178.315656</v>
      </c>
    </row>
    <row r="211" ht="14.25" customHeight="1">
      <c r="A211" s="6" t="s">
        <v>640</v>
      </c>
      <c r="B211" s="6" t="s">
        <v>641</v>
      </c>
      <c r="C211" s="6" t="s">
        <v>642</v>
      </c>
      <c r="D211" s="6" t="s">
        <v>64</v>
      </c>
      <c r="E211" s="6" t="s">
        <v>53</v>
      </c>
      <c r="F211" s="6" t="s">
        <v>54</v>
      </c>
      <c r="G211" s="6">
        <v>4.0</v>
      </c>
      <c r="H211" s="6">
        <v>427.55</v>
      </c>
      <c r="I211" s="6">
        <v>578.63</v>
      </c>
      <c r="J211" s="6">
        <v>8.02</v>
      </c>
      <c r="K211" s="6" t="s">
        <v>24</v>
      </c>
      <c r="L211" s="6" t="s">
        <v>55</v>
      </c>
      <c r="M211" s="6">
        <f t="shared" si="1"/>
        <v>1710.2</v>
      </c>
      <c r="N211" s="6">
        <f t="shared" si="2"/>
        <v>2128.895496</v>
      </c>
      <c r="O211" s="6">
        <f t="shared" si="3"/>
        <v>418.695496</v>
      </c>
      <c r="P211" s="7">
        <f t="shared" si="4"/>
        <v>0.1966726393</v>
      </c>
      <c r="Q211" s="6" t="s">
        <v>49</v>
      </c>
      <c r="R211" s="8">
        <f t="shared" si="5"/>
        <v>185.624504</v>
      </c>
    </row>
    <row r="212" ht="14.25" customHeight="1">
      <c r="A212" s="6" t="s">
        <v>643</v>
      </c>
      <c r="B212" s="6" t="s">
        <v>577</v>
      </c>
      <c r="C212" s="6" t="s">
        <v>644</v>
      </c>
      <c r="D212" s="6" t="s">
        <v>30</v>
      </c>
      <c r="E212" s="6" t="s">
        <v>104</v>
      </c>
      <c r="F212" s="6" t="s">
        <v>105</v>
      </c>
      <c r="G212" s="6">
        <v>6.0</v>
      </c>
      <c r="H212" s="6">
        <v>208.73</v>
      </c>
      <c r="I212" s="6">
        <v>286.98</v>
      </c>
      <c r="J212" s="6">
        <v>6.24</v>
      </c>
      <c r="K212" s="6" t="s">
        <v>44</v>
      </c>
      <c r="L212" s="6" t="s">
        <v>61</v>
      </c>
      <c r="M212" s="6">
        <f t="shared" si="1"/>
        <v>1252.38</v>
      </c>
      <c r="N212" s="6">
        <f t="shared" si="2"/>
        <v>1614.434688</v>
      </c>
      <c r="O212" s="6">
        <f t="shared" si="3"/>
        <v>362.054688</v>
      </c>
      <c r="P212" s="7">
        <f t="shared" si="4"/>
        <v>0.2242609693</v>
      </c>
      <c r="Q212" s="6" t="s">
        <v>26</v>
      </c>
      <c r="R212" s="8">
        <f t="shared" si="5"/>
        <v>107.445312</v>
      </c>
    </row>
    <row r="213" ht="14.25" customHeight="1">
      <c r="A213" s="6" t="s">
        <v>645</v>
      </c>
      <c r="B213" s="6" t="s">
        <v>646</v>
      </c>
      <c r="C213" s="6" t="s">
        <v>647</v>
      </c>
      <c r="D213" s="6" t="s">
        <v>70</v>
      </c>
      <c r="E213" s="6" t="s">
        <v>65</v>
      </c>
      <c r="F213" s="6" t="s">
        <v>75</v>
      </c>
      <c r="G213" s="6">
        <v>8.0</v>
      </c>
      <c r="H213" s="6">
        <v>223.07</v>
      </c>
      <c r="I213" s="6">
        <v>342.89</v>
      </c>
      <c r="J213" s="6">
        <v>19.83</v>
      </c>
      <c r="K213" s="6" t="s">
        <v>44</v>
      </c>
      <c r="L213" s="6" t="s">
        <v>61</v>
      </c>
      <c r="M213" s="6">
        <f t="shared" si="1"/>
        <v>1784.56</v>
      </c>
      <c r="N213" s="6">
        <f t="shared" si="2"/>
        <v>2199.159304</v>
      </c>
      <c r="O213" s="6">
        <f t="shared" si="3"/>
        <v>414.599304</v>
      </c>
      <c r="P213" s="7">
        <f t="shared" si="4"/>
        <v>0.1885262715</v>
      </c>
      <c r="Q213" s="6" t="s">
        <v>34</v>
      </c>
      <c r="R213" s="8">
        <f t="shared" si="5"/>
        <v>543.960696</v>
      </c>
    </row>
    <row r="214" ht="14.25" customHeight="1">
      <c r="A214" s="6" t="s">
        <v>648</v>
      </c>
      <c r="B214" s="6" t="s">
        <v>649</v>
      </c>
      <c r="C214" s="6" t="s">
        <v>650</v>
      </c>
      <c r="D214" s="6" t="s">
        <v>30</v>
      </c>
      <c r="E214" s="6" t="s">
        <v>65</v>
      </c>
      <c r="F214" s="6" t="s">
        <v>66</v>
      </c>
      <c r="G214" s="6">
        <v>8.0</v>
      </c>
      <c r="H214" s="6">
        <v>255.43</v>
      </c>
      <c r="I214" s="6">
        <v>428.98</v>
      </c>
      <c r="J214" s="6">
        <v>3.94</v>
      </c>
      <c r="K214" s="6" t="s">
        <v>44</v>
      </c>
      <c r="L214" s="6" t="s">
        <v>33</v>
      </c>
      <c r="M214" s="6">
        <f t="shared" si="1"/>
        <v>2043.44</v>
      </c>
      <c r="N214" s="6">
        <f t="shared" si="2"/>
        <v>3296.625504</v>
      </c>
      <c r="O214" s="6">
        <f t="shared" si="3"/>
        <v>1253.185504</v>
      </c>
      <c r="P214" s="7">
        <f t="shared" si="4"/>
        <v>0.3801419065</v>
      </c>
      <c r="Q214" s="6" t="s">
        <v>26</v>
      </c>
      <c r="R214" s="8">
        <f t="shared" si="5"/>
        <v>135.214496</v>
      </c>
    </row>
    <row r="215" ht="14.25" customHeight="1">
      <c r="A215" s="6" t="s">
        <v>651</v>
      </c>
      <c r="B215" s="6" t="s">
        <v>652</v>
      </c>
      <c r="C215" s="6" t="s">
        <v>653</v>
      </c>
      <c r="D215" s="6" t="s">
        <v>83</v>
      </c>
      <c r="E215" s="6" t="s">
        <v>31</v>
      </c>
      <c r="F215" s="6" t="s">
        <v>32</v>
      </c>
      <c r="G215" s="6">
        <v>4.0</v>
      </c>
      <c r="H215" s="6">
        <v>324.08</v>
      </c>
      <c r="I215" s="6">
        <v>520.58</v>
      </c>
      <c r="J215" s="6">
        <v>13.91</v>
      </c>
      <c r="K215" s="6" t="s">
        <v>44</v>
      </c>
      <c r="L215" s="6" t="s">
        <v>61</v>
      </c>
      <c r="M215" s="6">
        <f t="shared" si="1"/>
        <v>1296.32</v>
      </c>
      <c r="N215" s="6">
        <f t="shared" si="2"/>
        <v>1792.669288</v>
      </c>
      <c r="O215" s="6">
        <f t="shared" si="3"/>
        <v>496.349288</v>
      </c>
      <c r="P215" s="7">
        <f t="shared" si="4"/>
        <v>0.2768772195</v>
      </c>
      <c r="Q215" s="6" t="s">
        <v>26</v>
      </c>
      <c r="R215" s="8">
        <f t="shared" si="5"/>
        <v>289.650712</v>
      </c>
    </row>
    <row r="216" ht="14.25" customHeight="1">
      <c r="A216" s="6" t="s">
        <v>654</v>
      </c>
      <c r="B216" s="6" t="s">
        <v>63</v>
      </c>
      <c r="C216" s="6" t="s">
        <v>655</v>
      </c>
      <c r="D216" s="6" t="s">
        <v>21</v>
      </c>
      <c r="E216" s="6" t="s">
        <v>53</v>
      </c>
      <c r="F216" s="6" t="s">
        <v>54</v>
      </c>
      <c r="G216" s="6">
        <v>3.0</v>
      </c>
      <c r="H216" s="6">
        <v>159.82</v>
      </c>
      <c r="I216" s="6">
        <v>271.2</v>
      </c>
      <c r="J216" s="6">
        <v>2.57</v>
      </c>
      <c r="K216" s="6" t="s">
        <v>44</v>
      </c>
      <c r="L216" s="6" t="s">
        <v>25</v>
      </c>
      <c r="M216" s="6">
        <f t="shared" si="1"/>
        <v>479.46</v>
      </c>
      <c r="N216" s="6">
        <f t="shared" si="2"/>
        <v>792.69048</v>
      </c>
      <c r="O216" s="6">
        <f t="shared" si="3"/>
        <v>313.23048</v>
      </c>
      <c r="P216" s="7">
        <f t="shared" si="4"/>
        <v>0.3951485326</v>
      </c>
      <c r="Q216" s="6" t="s">
        <v>49</v>
      </c>
      <c r="R216" s="8">
        <f t="shared" si="5"/>
        <v>20.90952</v>
      </c>
    </row>
    <row r="217" ht="14.25" customHeight="1">
      <c r="A217" s="6" t="s">
        <v>656</v>
      </c>
      <c r="B217" s="6" t="s">
        <v>657</v>
      </c>
      <c r="C217" s="6" t="s">
        <v>658</v>
      </c>
      <c r="D217" s="6" t="s">
        <v>64</v>
      </c>
      <c r="E217" s="6" t="s">
        <v>65</v>
      </c>
      <c r="F217" s="6" t="s">
        <v>66</v>
      </c>
      <c r="G217" s="6">
        <v>2.0</v>
      </c>
      <c r="H217" s="6">
        <v>159.4</v>
      </c>
      <c r="I217" s="6">
        <v>219.28</v>
      </c>
      <c r="J217" s="6">
        <v>22.23</v>
      </c>
      <c r="K217" s="6" t="s">
        <v>24</v>
      </c>
      <c r="L217" s="6" t="s">
        <v>61</v>
      </c>
      <c r="M217" s="6">
        <f t="shared" si="1"/>
        <v>318.8</v>
      </c>
      <c r="N217" s="6">
        <f t="shared" si="2"/>
        <v>341.068112</v>
      </c>
      <c r="O217" s="6">
        <f t="shared" si="3"/>
        <v>22.268112</v>
      </c>
      <c r="P217" s="7">
        <f t="shared" si="4"/>
        <v>0.06528934021</v>
      </c>
      <c r="Q217" s="6" t="s">
        <v>34</v>
      </c>
      <c r="R217" s="8">
        <f t="shared" si="5"/>
        <v>97.491888</v>
      </c>
    </row>
    <row r="218" ht="14.25" customHeight="1">
      <c r="A218" s="6" t="s">
        <v>659</v>
      </c>
      <c r="B218" s="6" t="s">
        <v>417</v>
      </c>
      <c r="C218" s="6" t="s">
        <v>660</v>
      </c>
      <c r="D218" s="6" t="s">
        <v>21</v>
      </c>
      <c r="E218" s="6" t="s">
        <v>22</v>
      </c>
      <c r="F218" s="6" t="s">
        <v>23</v>
      </c>
      <c r="G218" s="6">
        <v>2.0</v>
      </c>
      <c r="H218" s="6">
        <v>270.17</v>
      </c>
      <c r="I218" s="6">
        <v>471.82</v>
      </c>
      <c r="J218" s="6">
        <v>16.46</v>
      </c>
      <c r="K218" s="6" t="s">
        <v>44</v>
      </c>
      <c r="L218" s="6" t="s">
        <v>25</v>
      </c>
      <c r="M218" s="6">
        <f t="shared" si="1"/>
        <v>540.34</v>
      </c>
      <c r="N218" s="6">
        <f t="shared" si="2"/>
        <v>788.316856</v>
      </c>
      <c r="O218" s="6">
        <f t="shared" si="3"/>
        <v>247.976856</v>
      </c>
      <c r="P218" s="7">
        <f t="shared" si="4"/>
        <v>0.3145649546</v>
      </c>
      <c r="Q218" s="6" t="s">
        <v>26</v>
      </c>
      <c r="R218" s="8">
        <f t="shared" si="5"/>
        <v>155.323144</v>
      </c>
    </row>
    <row r="219" ht="14.25" customHeight="1">
      <c r="A219" s="6" t="s">
        <v>661</v>
      </c>
      <c r="B219" s="6" t="s">
        <v>662</v>
      </c>
      <c r="C219" s="6" t="s">
        <v>663</v>
      </c>
      <c r="D219" s="6" t="s">
        <v>83</v>
      </c>
      <c r="E219" s="6" t="s">
        <v>65</v>
      </c>
      <c r="F219" s="6" t="s">
        <v>66</v>
      </c>
      <c r="G219" s="6">
        <v>2.0</v>
      </c>
      <c r="H219" s="6">
        <v>188.65</v>
      </c>
      <c r="I219" s="6">
        <v>255.74</v>
      </c>
      <c r="J219" s="6">
        <v>20.79</v>
      </c>
      <c r="K219" s="6" t="s">
        <v>24</v>
      </c>
      <c r="L219" s="6" t="s">
        <v>61</v>
      </c>
      <c r="M219" s="6">
        <f t="shared" si="1"/>
        <v>377.3</v>
      </c>
      <c r="N219" s="6">
        <f t="shared" si="2"/>
        <v>405.143308</v>
      </c>
      <c r="O219" s="6">
        <f t="shared" si="3"/>
        <v>27.843308</v>
      </c>
      <c r="P219" s="7">
        <f t="shared" si="4"/>
        <v>0.06872459066</v>
      </c>
      <c r="Q219" s="6" t="s">
        <v>40</v>
      </c>
      <c r="R219" s="8">
        <f t="shared" si="5"/>
        <v>106.336692</v>
      </c>
    </row>
    <row r="220" ht="14.25" customHeight="1">
      <c r="A220" s="6" t="s">
        <v>664</v>
      </c>
      <c r="B220" s="6" t="s">
        <v>665</v>
      </c>
      <c r="C220" s="6" t="s">
        <v>666</v>
      </c>
      <c r="D220" s="6" t="s">
        <v>70</v>
      </c>
      <c r="E220" s="6" t="s">
        <v>38</v>
      </c>
      <c r="F220" s="6" t="s">
        <v>71</v>
      </c>
      <c r="G220" s="6">
        <v>5.0</v>
      </c>
      <c r="H220" s="6">
        <v>107.42</v>
      </c>
      <c r="I220" s="6">
        <v>189.99</v>
      </c>
      <c r="J220" s="6">
        <v>9.06</v>
      </c>
      <c r="K220" s="6" t="s">
        <v>44</v>
      </c>
      <c r="L220" s="6" t="s">
        <v>61</v>
      </c>
      <c r="M220" s="6">
        <f t="shared" si="1"/>
        <v>537.1</v>
      </c>
      <c r="N220" s="6">
        <f t="shared" si="2"/>
        <v>863.88453</v>
      </c>
      <c r="O220" s="6">
        <f t="shared" si="3"/>
        <v>326.78453</v>
      </c>
      <c r="P220" s="7">
        <f t="shared" si="4"/>
        <v>0.3782733903</v>
      </c>
      <c r="Q220" s="6" t="s">
        <v>40</v>
      </c>
      <c r="R220" s="8">
        <f t="shared" si="5"/>
        <v>86.06547</v>
      </c>
    </row>
    <row r="221" ht="14.25" customHeight="1">
      <c r="A221" s="6" t="s">
        <v>667</v>
      </c>
      <c r="B221" s="6" t="s">
        <v>668</v>
      </c>
      <c r="C221" s="6" t="s">
        <v>669</v>
      </c>
      <c r="D221" s="6" t="s">
        <v>21</v>
      </c>
      <c r="E221" s="6" t="s">
        <v>22</v>
      </c>
      <c r="F221" s="6" t="s">
        <v>23</v>
      </c>
      <c r="G221" s="6">
        <v>5.0</v>
      </c>
      <c r="H221" s="6">
        <v>137.22</v>
      </c>
      <c r="I221" s="6">
        <v>237.77</v>
      </c>
      <c r="J221" s="6">
        <v>17.71</v>
      </c>
      <c r="K221" s="6" t="s">
        <v>44</v>
      </c>
      <c r="L221" s="6" t="s">
        <v>25</v>
      </c>
      <c r="M221" s="6">
        <f t="shared" si="1"/>
        <v>686.1</v>
      </c>
      <c r="N221" s="6">
        <f t="shared" si="2"/>
        <v>978.304665</v>
      </c>
      <c r="O221" s="6">
        <f t="shared" si="3"/>
        <v>292.204665</v>
      </c>
      <c r="P221" s="7">
        <f t="shared" si="4"/>
        <v>0.2986847303</v>
      </c>
      <c r="Q221" s="6" t="s">
        <v>26</v>
      </c>
      <c r="R221" s="8">
        <f t="shared" si="5"/>
        <v>210.545335</v>
      </c>
    </row>
    <row r="222" ht="14.25" customHeight="1">
      <c r="A222" s="6" t="s">
        <v>670</v>
      </c>
      <c r="B222" s="6" t="s">
        <v>671</v>
      </c>
      <c r="C222" s="6" t="s">
        <v>672</v>
      </c>
      <c r="D222" s="6" t="s">
        <v>48</v>
      </c>
      <c r="E222" s="6" t="s">
        <v>53</v>
      </c>
      <c r="F222" s="6" t="s">
        <v>54</v>
      </c>
      <c r="G222" s="6">
        <v>4.0</v>
      </c>
      <c r="H222" s="6">
        <v>102.45</v>
      </c>
      <c r="I222" s="6">
        <v>132.99</v>
      </c>
      <c r="J222" s="6">
        <v>21.26</v>
      </c>
      <c r="K222" s="6" t="s">
        <v>44</v>
      </c>
      <c r="L222" s="6" t="s">
        <v>55</v>
      </c>
      <c r="M222" s="6">
        <f t="shared" si="1"/>
        <v>409.8</v>
      </c>
      <c r="N222" s="6">
        <f t="shared" si="2"/>
        <v>418.865304</v>
      </c>
      <c r="O222" s="6">
        <f t="shared" si="3"/>
        <v>9.065304</v>
      </c>
      <c r="P222" s="7">
        <f t="shared" si="4"/>
        <v>0.02164252783</v>
      </c>
      <c r="Q222" s="6" t="s">
        <v>26</v>
      </c>
      <c r="R222" s="8">
        <f t="shared" si="5"/>
        <v>113.094696</v>
      </c>
    </row>
    <row r="223" ht="14.25" customHeight="1">
      <c r="A223" s="6" t="s">
        <v>673</v>
      </c>
      <c r="B223" s="6" t="s">
        <v>368</v>
      </c>
      <c r="C223" s="6" t="s">
        <v>674</v>
      </c>
      <c r="D223" s="6" t="s">
        <v>83</v>
      </c>
      <c r="E223" s="6" t="s">
        <v>31</v>
      </c>
      <c r="F223" s="6" t="s">
        <v>32</v>
      </c>
      <c r="G223" s="6">
        <v>1.0</v>
      </c>
      <c r="H223" s="6">
        <v>211.62</v>
      </c>
      <c r="I223" s="6">
        <v>284.53</v>
      </c>
      <c r="J223" s="6">
        <v>11.36</v>
      </c>
      <c r="K223" s="6" t="s">
        <v>44</v>
      </c>
      <c r="L223" s="6" t="s">
        <v>25</v>
      </c>
      <c r="M223" s="6">
        <f t="shared" si="1"/>
        <v>211.62</v>
      </c>
      <c r="N223" s="6">
        <f t="shared" si="2"/>
        <v>252.207392</v>
      </c>
      <c r="O223" s="6">
        <f t="shared" si="3"/>
        <v>40.587392</v>
      </c>
      <c r="P223" s="7">
        <f t="shared" si="4"/>
        <v>0.1609286377</v>
      </c>
      <c r="Q223" s="6" t="s">
        <v>76</v>
      </c>
      <c r="R223" s="8">
        <f t="shared" si="5"/>
        <v>32.322608</v>
      </c>
    </row>
    <row r="224" ht="14.25" customHeight="1">
      <c r="A224" s="6" t="s">
        <v>675</v>
      </c>
      <c r="B224" s="6" t="s">
        <v>676</v>
      </c>
      <c r="C224" s="6" t="s">
        <v>677</v>
      </c>
      <c r="D224" s="6" t="s">
        <v>64</v>
      </c>
      <c r="E224" s="6" t="s">
        <v>87</v>
      </c>
      <c r="F224" s="6" t="s">
        <v>88</v>
      </c>
      <c r="G224" s="6">
        <v>8.0</v>
      </c>
      <c r="H224" s="6">
        <v>350.16</v>
      </c>
      <c r="I224" s="6">
        <v>431.99</v>
      </c>
      <c r="J224" s="6">
        <v>0.65</v>
      </c>
      <c r="K224" s="6" t="s">
        <v>24</v>
      </c>
      <c r="L224" s="6" t="s">
        <v>25</v>
      </c>
      <c r="M224" s="6">
        <f t="shared" si="1"/>
        <v>2801.28</v>
      </c>
      <c r="N224" s="6">
        <f t="shared" si="2"/>
        <v>3433.45652</v>
      </c>
      <c r="O224" s="6">
        <f t="shared" si="3"/>
        <v>632.17652</v>
      </c>
      <c r="P224" s="7">
        <f t="shared" si="4"/>
        <v>0.1841224773</v>
      </c>
      <c r="Q224" s="6" t="s">
        <v>40</v>
      </c>
      <c r="R224" s="8">
        <f t="shared" si="5"/>
        <v>22.46348</v>
      </c>
    </row>
    <row r="225" ht="14.25" customHeight="1">
      <c r="A225" s="6" t="s">
        <v>678</v>
      </c>
      <c r="B225" s="6" t="s">
        <v>679</v>
      </c>
      <c r="C225" s="6" t="s">
        <v>680</v>
      </c>
      <c r="D225" s="6" t="s">
        <v>48</v>
      </c>
      <c r="E225" s="6" t="s">
        <v>38</v>
      </c>
      <c r="F225" s="6" t="s">
        <v>71</v>
      </c>
      <c r="G225" s="6">
        <v>1.0</v>
      </c>
      <c r="H225" s="6">
        <v>56.8</v>
      </c>
      <c r="I225" s="6">
        <v>105.08</v>
      </c>
      <c r="J225" s="6">
        <v>11.11</v>
      </c>
      <c r="K225" s="6" t="s">
        <v>24</v>
      </c>
      <c r="L225" s="6" t="s">
        <v>61</v>
      </c>
      <c r="M225" s="6">
        <f t="shared" si="1"/>
        <v>56.8</v>
      </c>
      <c r="N225" s="6">
        <f t="shared" si="2"/>
        <v>93.405612</v>
      </c>
      <c r="O225" s="6">
        <f t="shared" si="3"/>
        <v>36.605612</v>
      </c>
      <c r="P225" s="7">
        <f t="shared" si="4"/>
        <v>0.3918994931</v>
      </c>
      <c r="Q225" s="6" t="s">
        <v>76</v>
      </c>
      <c r="R225" s="8">
        <f t="shared" si="5"/>
        <v>11.674388</v>
      </c>
    </row>
    <row r="226" ht="14.25" customHeight="1">
      <c r="A226" s="6" t="s">
        <v>681</v>
      </c>
      <c r="B226" s="6" t="s">
        <v>682</v>
      </c>
      <c r="C226" s="6" t="s">
        <v>683</v>
      </c>
      <c r="D226" s="6" t="s">
        <v>21</v>
      </c>
      <c r="E226" s="6" t="s">
        <v>38</v>
      </c>
      <c r="F226" s="6" t="s">
        <v>39</v>
      </c>
      <c r="G226" s="6">
        <v>1.0</v>
      </c>
      <c r="H226" s="6">
        <v>102.05</v>
      </c>
      <c r="I226" s="6">
        <v>131.78</v>
      </c>
      <c r="J226" s="6">
        <v>11.49</v>
      </c>
      <c r="K226" s="6" t="s">
        <v>24</v>
      </c>
      <c r="L226" s="6" t="s">
        <v>61</v>
      </c>
      <c r="M226" s="6">
        <f t="shared" si="1"/>
        <v>102.05</v>
      </c>
      <c r="N226" s="6">
        <f t="shared" si="2"/>
        <v>116.638478</v>
      </c>
      <c r="O226" s="6">
        <f t="shared" si="3"/>
        <v>14.588478</v>
      </c>
      <c r="P226" s="7">
        <f t="shared" si="4"/>
        <v>0.1250743172</v>
      </c>
      <c r="Q226" s="6" t="s">
        <v>49</v>
      </c>
      <c r="R226" s="8">
        <f t="shared" si="5"/>
        <v>15.141522</v>
      </c>
    </row>
    <row r="227" ht="14.25" customHeight="1">
      <c r="A227" s="6" t="s">
        <v>684</v>
      </c>
      <c r="B227" s="6" t="s">
        <v>42</v>
      </c>
      <c r="C227" s="6" t="s">
        <v>685</v>
      </c>
      <c r="D227" s="6" t="s">
        <v>70</v>
      </c>
      <c r="E227" s="6" t="s">
        <v>38</v>
      </c>
      <c r="F227" s="6" t="s">
        <v>39</v>
      </c>
      <c r="G227" s="6">
        <v>2.0</v>
      </c>
      <c r="H227" s="6">
        <v>308.42</v>
      </c>
      <c r="I227" s="6">
        <v>388.3</v>
      </c>
      <c r="J227" s="6">
        <v>22.61</v>
      </c>
      <c r="K227" s="6" t="s">
        <v>24</v>
      </c>
      <c r="L227" s="6" t="s">
        <v>55</v>
      </c>
      <c r="M227" s="6">
        <f t="shared" si="1"/>
        <v>616.84</v>
      </c>
      <c r="N227" s="6">
        <f t="shared" si="2"/>
        <v>601.01074</v>
      </c>
      <c r="O227" s="6">
        <f t="shared" si="3"/>
        <v>-15.82926</v>
      </c>
      <c r="P227" s="7">
        <f t="shared" si="4"/>
        <v>-0.02633773233</v>
      </c>
      <c r="Q227" s="6" t="s">
        <v>34</v>
      </c>
      <c r="R227" s="8">
        <f t="shared" si="5"/>
        <v>175.58926</v>
      </c>
    </row>
    <row r="228" ht="14.25" customHeight="1">
      <c r="A228" s="6" t="s">
        <v>686</v>
      </c>
      <c r="B228" s="6" t="s">
        <v>687</v>
      </c>
      <c r="C228" s="6" t="s">
        <v>688</v>
      </c>
      <c r="D228" s="6" t="s">
        <v>48</v>
      </c>
      <c r="E228" s="6" t="s">
        <v>59</v>
      </c>
      <c r="F228" s="6" t="s">
        <v>60</v>
      </c>
      <c r="G228" s="6">
        <v>6.0</v>
      </c>
      <c r="H228" s="6">
        <v>227.92</v>
      </c>
      <c r="I228" s="6">
        <v>348.98</v>
      </c>
      <c r="J228" s="6">
        <v>2.49</v>
      </c>
      <c r="K228" s="6" t="s">
        <v>44</v>
      </c>
      <c r="L228" s="6" t="s">
        <v>61</v>
      </c>
      <c r="M228" s="6">
        <f t="shared" si="1"/>
        <v>1367.52</v>
      </c>
      <c r="N228" s="6">
        <f t="shared" si="2"/>
        <v>2041.742388</v>
      </c>
      <c r="O228" s="6">
        <f t="shared" si="3"/>
        <v>674.222388</v>
      </c>
      <c r="P228" s="7">
        <f t="shared" si="4"/>
        <v>0.3302191265</v>
      </c>
      <c r="Q228" s="6" t="s">
        <v>40</v>
      </c>
      <c r="R228" s="8">
        <f t="shared" si="5"/>
        <v>52.137612</v>
      </c>
    </row>
    <row r="229" ht="14.25" customHeight="1">
      <c r="A229" s="6" t="s">
        <v>689</v>
      </c>
      <c r="B229" s="6" t="s">
        <v>690</v>
      </c>
      <c r="C229" s="6" t="s">
        <v>691</v>
      </c>
      <c r="D229" s="6" t="s">
        <v>21</v>
      </c>
      <c r="E229" s="6" t="s">
        <v>59</v>
      </c>
      <c r="F229" s="6" t="s">
        <v>60</v>
      </c>
      <c r="G229" s="6">
        <v>5.0</v>
      </c>
      <c r="H229" s="6">
        <v>151.08</v>
      </c>
      <c r="I229" s="6">
        <v>199.27</v>
      </c>
      <c r="J229" s="6">
        <v>11.08</v>
      </c>
      <c r="K229" s="6" t="s">
        <v>44</v>
      </c>
      <c r="L229" s="6" t="s">
        <v>25</v>
      </c>
      <c r="M229" s="6">
        <f t="shared" si="1"/>
        <v>755.4</v>
      </c>
      <c r="N229" s="6">
        <f t="shared" si="2"/>
        <v>885.95442</v>
      </c>
      <c r="O229" s="6">
        <f t="shared" si="3"/>
        <v>130.55442</v>
      </c>
      <c r="P229" s="7">
        <f t="shared" si="4"/>
        <v>0.1473601994</v>
      </c>
      <c r="Q229" s="6" t="s">
        <v>49</v>
      </c>
      <c r="R229" s="8">
        <f t="shared" si="5"/>
        <v>110.39558</v>
      </c>
    </row>
    <row r="230" ht="14.25" customHeight="1">
      <c r="A230" s="6" t="s">
        <v>692</v>
      </c>
      <c r="B230" s="6" t="s">
        <v>638</v>
      </c>
      <c r="C230" s="6" t="s">
        <v>693</v>
      </c>
      <c r="D230" s="6" t="s">
        <v>83</v>
      </c>
      <c r="E230" s="6" t="s">
        <v>53</v>
      </c>
      <c r="F230" s="6" t="s">
        <v>54</v>
      </c>
      <c r="G230" s="6">
        <v>8.0</v>
      </c>
      <c r="H230" s="6">
        <v>96.85</v>
      </c>
      <c r="I230" s="6">
        <v>176.68</v>
      </c>
      <c r="J230" s="6">
        <v>1.1</v>
      </c>
      <c r="K230" s="6" t="s">
        <v>24</v>
      </c>
      <c r="L230" s="6" t="s">
        <v>55</v>
      </c>
      <c r="M230" s="6">
        <f t="shared" si="1"/>
        <v>774.8</v>
      </c>
      <c r="N230" s="6">
        <f t="shared" si="2"/>
        <v>1397.89216</v>
      </c>
      <c r="O230" s="6">
        <f t="shared" si="3"/>
        <v>623.09216</v>
      </c>
      <c r="P230" s="7">
        <f t="shared" si="4"/>
        <v>0.4457369301</v>
      </c>
      <c r="Q230" s="6" t="s">
        <v>40</v>
      </c>
      <c r="R230" s="8">
        <f t="shared" si="5"/>
        <v>15.54784</v>
      </c>
    </row>
    <row r="231" ht="14.25" customHeight="1">
      <c r="A231" s="6" t="s">
        <v>694</v>
      </c>
      <c r="B231" s="6" t="s">
        <v>695</v>
      </c>
      <c r="C231" s="6" t="s">
        <v>696</v>
      </c>
      <c r="D231" s="6" t="s">
        <v>70</v>
      </c>
      <c r="E231" s="6" t="s">
        <v>38</v>
      </c>
      <c r="F231" s="6" t="s">
        <v>71</v>
      </c>
      <c r="G231" s="6">
        <v>4.0</v>
      </c>
      <c r="H231" s="6">
        <v>306.63</v>
      </c>
      <c r="I231" s="6">
        <v>457.31</v>
      </c>
      <c r="J231" s="6">
        <v>8.27</v>
      </c>
      <c r="K231" s="6" t="s">
        <v>44</v>
      </c>
      <c r="L231" s="6" t="s">
        <v>25</v>
      </c>
      <c r="M231" s="6">
        <f t="shared" si="1"/>
        <v>1226.52</v>
      </c>
      <c r="N231" s="6">
        <f t="shared" si="2"/>
        <v>1677.961852</v>
      </c>
      <c r="O231" s="6">
        <f t="shared" si="3"/>
        <v>451.441852</v>
      </c>
      <c r="P231" s="7">
        <f t="shared" si="4"/>
        <v>0.2690417851</v>
      </c>
      <c r="Q231" s="6" t="s">
        <v>40</v>
      </c>
      <c r="R231" s="8">
        <f t="shared" si="5"/>
        <v>151.278148</v>
      </c>
    </row>
    <row r="232" ht="14.25" customHeight="1">
      <c r="A232" s="6" t="s">
        <v>697</v>
      </c>
      <c r="B232" s="6" t="s">
        <v>698</v>
      </c>
      <c r="C232" s="6" t="s">
        <v>699</v>
      </c>
      <c r="D232" s="6" t="s">
        <v>48</v>
      </c>
      <c r="E232" s="6" t="s">
        <v>104</v>
      </c>
      <c r="F232" s="6" t="s">
        <v>105</v>
      </c>
      <c r="G232" s="6">
        <v>6.0</v>
      </c>
      <c r="H232" s="6">
        <v>176.07</v>
      </c>
      <c r="I232" s="6">
        <v>241.32</v>
      </c>
      <c r="J232" s="6">
        <v>16.55</v>
      </c>
      <c r="K232" s="6" t="s">
        <v>44</v>
      </c>
      <c r="L232" s="6" t="s">
        <v>55</v>
      </c>
      <c r="M232" s="6">
        <f t="shared" si="1"/>
        <v>1056.42</v>
      </c>
      <c r="N232" s="6">
        <f t="shared" si="2"/>
        <v>1208.28924</v>
      </c>
      <c r="O232" s="6">
        <f t="shared" si="3"/>
        <v>151.86924</v>
      </c>
      <c r="P232" s="7">
        <f t="shared" si="4"/>
        <v>0.1256894748</v>
      </c>
      <c r="Q232" s="6" t="s">
        <v>26</v>
      </c>
      <c r="R232" s="8">
        <f t="shared" si="5"/>
        <v>239.63076</v>
      </c>
    </row>
    <row r="233" ht="14.25" customHeight="1">
      <c r="A233" s="6" t="s">
        <v>700</v>
      </c>
      <c r="B233" s="6" t="s">
        <v>701</v>
      </c>
      <c r="C233" s="6" t="s">
        <v>702</v>
      </c>
      <c r="D233" s="6" t="s">
        <v>21</v>
      </c>
      <c r="E233" s="6" t="s">
        <v>53</v>
      </c>
      <c r="F233" s="6" t="s">
        <v>54</v>
      </c>
      <c r="G233" s="6">
        <v>8.0</v>
      </c>
      <c r="H233" s="6">
        <v>188.22</v>
      </c>
      <c r="I233" s="6">
        <v>248.96</v>
      </c>
      <c r="J233" s="6">
        <v>18.36</v>
      </c>
      <c r="K233" s="6" t="s">
        <v>44</v>
      </c>
      <c r="L233" s="6" t="s">
        <v>55</v>
      </c>
      <c r="M233" s="6">
        <f t="shared" si="1"/>
        <v>1505.76</v>
      </c>
      <c r="N233" s="6">
        <f t="shared" si="2"/>
        <v>1626.007552</v>
      </c>
      <c r="O233" s="6">
        <f t="shared" si="3"/>
        <v>120.247552</v>
      </c>
      <c r="P233" s="7">
        <f t="shared" si="4"/>
        <v>0.07395264053</v>
      </c>
      <c r="Q233" s="6" t="s">
        <v>40</v>
      </c>
      <c r="R233" s="8">
        <f t="shared" si="5"/>
        <v>365.672448</v>
      </c>
    </row>
    <row r="234" ht="14.25" customHeight="1">
      <c r="A234" s="6" t="s">
        <v>703</v>
      </c>
      <c r="B234" s="6" t="s">
        <v>704</v>
      </c>
      <c r="C234" s="6" t="s">
        <v>705</v>
      </c>
      <c r="D234" s="6" t="s">
        <v>70</v>
      </c>
      <c r="E234" s="6" t="s">
        <v>59</v>
      </c>
      <c r="F234" s="6" t="s">
        <v>60</v>
      </c>
      <c r="G234" s="6">
        <v>4.0</v>
      </c>
      <c r="H234" s="6">
        <v>155.06</v>
      </c>
      <c r="I234" s="6">
        <v>243.53</v>
      </c>
      <c r="J234" s="6">
        <v>8.9</v>
      </c>
      <c r="K234" s="6" t="s">
        <v>44</v>
      </c>
      <c r="L234" s="6" t="s">
        <v>55</v>
      </c>
      <c r="M234" s="6">
        <f t="shared" si="1"/>
        <v>620.24</v>
      </c>
      <c r="N234" s="6">
        <f t="shared" si="2"/>
        <v>887.42332</v>
      </c>
      <c r="O234" s="6">
        <f t="shared" si="3"/>
        <v>267.18332</v>
      </c>
      <c r="P234" s="7">
        <f t="shared" si="4"/>
        <v>0.3010776413</v>
      </c>
      <c r="Q234" s="6" t="s">
        <v>34</v>
      </c>
      <c r="R234" s="8">
        <f t="shared" si="5"/>
        <v>86.69668</v>
      </c>
    </row>
    <row r="235" ht="14.25" customHeight="1">
      <c r="A235" s="6" t="s">
        <v>706</v>
      </c>
      <c r="B235" s="6" t="s">
        <v>707</v>
      </c>
      <c r="C235" s="6" t="s">
        <v>708</v>
      </c>
      <c r="D235" s="6" t="s">
        <v>48</v>
      </c>
      <c r="E235" s="6" t="s">
        <v>87</v>
      </c>
      <c r="F235" s="6" t="s">
        <v>88</v>
      </c>
      <c r="G235" s="6">
        <v>8.0</v>
      </c>
      <c r="H235" s="6">
        <v>65.0</v>
      </c>
      <c r="I235" s="6">
        <v>93.67</v>
      </c>
      <c r="J235" s="6">
        <v>9.22</v>
      </c>
      <c r="K235" s="6" t="s">
        <v>44</v>
      </c>
      <c r="L235" s="6" t="s">
        <v>25</v>
      </c>
      <c r="M235" s="6">
        <f t="shared" si="1"/>
        <v>520</v>
      </c>
      <c r="N235" s="6">
        <f t="shared" si="2"/>
        <v>680.269008</v>
      </c>
      <c r="O235" s="6">
        <f t="shared" si="3"/>
        <v>160.269008</v>
      </c>
      <c r="P235" s="7">
        <f t="shared" si="4"/>
        <v>0.2355965157</v>
      </c>
      <c r="Q235" s="6" t="s">
        <v>40</v>
      </c>
      <c r="R235" s="8">
        <f t="shared" si="5"/>
        <v>69.090992</v>
      </c>
    </row>
    <row r="236" ht="14.25" customHeight="1">
      <c r="A236" s="6" t="s">
        <v>709</v>
      </c>
      <c r="B236" s="6" t="s">
        <v>710</v>
      </c>
      <c r="C236" s="6" t="s">
        <v>708</v>
      </c>
      <c r="D236" s="6" t="s">
        <v>21</v>
      </c>
      <c r="E236" s="6" t="s">
        <v>65</v>
      </c>
      <c r="F236" s="6" t="s">
        <v>66</v>
      </c>
      <c r="G236" s="6">
        <v>2.0</v>
      </c>
      <c r="H236" s="6">
        <v>95.02</v>
      </c>
      <c r="I236" s="6">
        <v>130.05</v>
      </c>
      <c r="J236" s="6">
        <v>1.09</v>
      </c>
      <c r="K236" s="6" t="s">
        <v>44</v>
      </c>
      <c r="L236" s="6" t="s">
        <v>33</v>
      </c>
      <c r="M236" s="6">
        <f t="shared" si="1"/>
        <v>190.04</v>
      </c>
      <c r="N236" s="6">
        <f t="shared" si="2"/>
        <v>257.26491</v>
      </c>
      <c r="O236" s="6">
        <f t="shared" si="3"/>
        <v>67.22491</v>
      </c>
      <c r="P236" s="7">
        <f t="shared" si="4"/>
        <v>0.2613061766</v>
      </c>
      <c r="Q236" s="6" t="s">
        <v>49</v>
      </c>
      <c r="R236" s="8">
        <f t="shared" si="5"/>
        <v>2.83509</v>
      </c>
    </row>
    <row r="237" ht="14.25" customHeight="1">
      <c r="A237" s="6" t="s">
        <v>711</v>
      </c>
      <c r="B237" s="6" t="s">
        <v>712</v>
      </c>
      <c r="C237" s="6" t="s">
        <v>713</v>
      </c>
      <c r="D237" s="6" t="s">
        <v>64</v>
      </c>
      <c r="E237" s="6" t="s">
        <v>104</v>
      </c>
      <c r="F237" s="6" t="s">
        <v>105</v>
      </c>
      <c r="G237" s="6">
        <v>7.0</v>
      </c>
      <c r="H237" s="6">
        <v>270.05</v>
      </c>
      <c r="I237" s="6">
        <v>510.79</v>
      </c>
      <c r="J237" s="6">
        <v>1.55</v>
      </c>
      <c r="K237" s="6" t="s">
        <v>44</v>
      </c>
      <c r="L237" s="6" t="s">
        <v>61</v>
      </c>
      <c r="M237" s="6">
        <f t="shared" si="1"/>
        <v>1890.35</v>
      </c>
      <c r="N237" s="6">
        <f t="shared" si="2"/>
        <v>3520.109285</v>
      </c>
      <c r="O237" s="6">
        <f t="shared" si="3"/>
        <v>1629.759285</v>
      </c>
      <c r="P237" s="7">
        <f t="shared" si="4"/>
        <v>0.4629854226</v>
      </c>
      <c r="Q237" s="6" t="s">
        <v>49</v>
      </c>
      <c r="R237" s="8">
        <f t="shared" si="5"/>
        <v>55.420715</v>
      </c>
    </row>
    <row r="238" ht="14.25" customHeight="1">
      <c r="A238" s="6" t="s">
        <v>714</v>
      </c>
      <c r="B238" s="6" t="s">
        <v>715</v>
      </c>
      <c r="C238" s="6" t="s">
        <v>716</v>
      </c>
      <c r="D238" s="6" t="s">
        <v>64</v>
      </c>
      <c r="E238" s="6" t="s">
        <v>65</v>
      </c>
      <c r="F238" s="6" t="s">
        <v>66</v>
      </c>
      <c r="G238" s="6">
        <v>1.0</v>
      </c>
      <c r="H238" s="6">
        <v>427.05</v>
      </c>
      <c r="I238" s="6">
        <v>528.54</v>
      </c>
      <c r="J238" s="6">
        <v>18.18</v>
      </c>
      <c r="K238" s="6" t="s">
        <v>24</v>
      </c>
      <c r="L238" s="6" t="s">
        <v>25</v>
      </c>
      <c r="M238" s="6">
        <f t="shared" si="1"/>
        <v>427.05</v>
      </c>
      <c r="N238" s="6">
        <f t="shared" si="2"/>
        <v>432.451428</v>
      </c>
      <c r="O238" s="6">
        <f t="shared" si="3"/>
        <v>5.401428</v>
      </c>
      <c r="P238" s="7">
        <f t="shared" si="4"/>
        <v>0.01249025359</v>
      </c>
      <c r="Q238" s="6" t="s">
        <v>34</v>
      </c>
      <c r="R238" s="8">
        <f t="shared" si="5"/>
        <v>96.088572</v>
      </c>
    </row>
    <row r="239" ht="14.25" customHeight="1">
      <c r="A239" s="6" t="s">
        <v>717</v>
      </c>
      <c r="B239" s="6" t="s">
        <v>46</v>
      </c>
      <c r="C239" s="6" t="s">
        <v>718</v>
      </c>
      <c r="D239" s="6" t="s">
        <v>48</v>
      </c>
      <c r="E239" s="6" t="s">
        <v>59</v>
      </c>
      <c r="F239" s="6" t="s">
        <v>60</v>
      </c>
      <c r="G239" s="6">
        <v>6.0</v>
      </c>
      <c r="H239" s="6">
        <v>172.75</v>
      </c>
      <c r="I239" s="6">
        <v>269.84</v>
      </c>
      <c r="J239" s="6">
        <v>11.27</v>
      </c>
      <c r="K239" s="6" t="s">
        <v>44</v>
      </c>
      <c r="L239" s="6" t="s">
        <v>25</v>
      </c>
      <c r="M239" s="6">
        <f t="shared" si="1"/>
        <v>1036.5</v>
      </c>
      <c r="N239" s="6">
        <f t="shared" si="2"/>
        <v>1436.574192</v>
      </c>
      <c r="O239" s="6">
        <f t="shared" si="3"/>
        <v>400.074192</v>
      </c>
      <c r="P239" s="7">
        <f t="shared" si="4"/>
        <v>0.2784918414</v>
      </c>
      <c r="Q239" s="6" t="s">
        <v>40</v>
      </c>
      <c r="R239" s="8">
        <f t="shared" si="5"/>
        <v>182.465808</v>
      </c>
    </row>
    <row r="240" ht="14.25" customHeight="1">
      <c r="A240" s="6" t="s">
        <v>719</v>
      </c>
      <c r="B240" s="6" t="s">
        <v>720</v>
      </c>
      <c r="C240" s="6" t="s">
        <v>721</v>
      </c>
      <c r="D240" s="6" t="s">
        <v>30</v>
      </c>
      <c r="E240" s="6" t="s">
        <v>22</v>
      </c>
      <c r="F240" s="6" t="s">
        <v>23</v>
      </c>
      <c r="G240" s="6">
        <v>2.0</v>
      </c>
      <c r="H240" s="6">
        <v>448.24</v>
      </c>
      <c r="I240" s="6">
        <v>586.31</v>
      </c>
      <c r="J240" s="6">
        <v>11.64</v>
      </c>
      <c r="K240" s="6" t="s">
        <v>24</v>
      </c>
      <c r="L240" s="6" t="s">
        <v>25</v>
      </c>
      <c r="M240" s="6">
        <f t="shared" si="1"/>
        <v>896.48</v>
      </c>
      <c r="N240" s="6">
        <f t="shared" si="2"/>
        <v>1036.127032</v>
      </c>
      <c r="O240" s="6">
        <f t="shared" si="3"/>
        <v>139.647032</v>
      </c>
      <c r="P240" s="7">
        <f t="shared" si="4"/>
        <v>0.1347779063</v>
      </c>
      <c r="Q240" s="6" t="s">
        <v>34</v>
      </c>
      <c r="R240" s="8">
        <f t="shared" si="5"/>
        <v>136.492968</v>
      </c>
    </row>
    <row r="241" ht="14.25" customHeight="1">
      <c r="A241" s="6" t="s">
        <v>722</v>
      </c>
      <c r="B241" s="6" t="s">
        <v>723</v>
      </c>
      <c r="C241" s="6" t="s">
        <v>724</v>
      </c>
      <c r="D241" s="6" t="s">
        <v>64</v>
      </c>
      <c r="E241" s="6" t="s">
        <v>22</v>
      </c>
      <c r="F241" s="6" t="s">
        <v>23</v>
      </c>
      <c r="G241" s="6">
        <v>1.0</v>
      </c>
      <c r="H241" s="6">
        <v>195.11</v>
      </c>
      <c r="I241" s="6">
        <v>232.45</v>
      </c>
      <c r="J241" s="6">
        <v>13.54</v>
      </c>
      <c r="K241" s="6" t="s">
        <v>24</v>
      </c>
      <c r="L241" s="6" t="s">
        <v>61</v>
      </c>
      <c r="M241" s="6">
        <f t="shared" si="1"/>
        <v>195.11</v>
      </c>
      <c r="N241" s="6">
        <f t="shared" si="2"/>
        <v>200.97627</v>
      </c>
      <c r="O241" s="6">
        <f t="shared" si="3"/>
        <v>5.86627</v>
      </c>
      <c r="P241" s="7">
        <f t="shared" si="4"/>
        <v>0.02918886891</v>
      </c>
      <c r="Q241" s="6" t="s">
        <v>34</v>
      </c>
      <c r="R241" s="8">
        <f t="shared" si="5"/>
        <v>31.47373</v>
      </c>
    </row>
    <row r="242" ht="14.25" customHeight="1">
      <c r="A242" s="6" t="s">
        <v>725</v>
      </c>
      <c r="B242" s="6" t="s">
        <v>350</v>
      </c>
      <c r="C242" s="6" t="s">
        <v>726</v>
      </c>
      <c r="D242" s="6" t="s">
        <v>83</v>
      </c>
      <c r="E242" s="6" t="s">
        <v>65</v>
      </c>
      <c r="F242" s="6" t="s">
        <v>75</v>
      </c>
      <c r="G242" s="6">
        <v>1.0</v>
      </c>
      <c r="H242" s="6">
        <v>342.34</v>
      </c>
      <c r="I242" s="6">
        <v>412.6</v>
      </c>
      <c r="J242" s="6">
        <v>6.94</v>
      </c>
      <c r="K242" s="6" t="s">
        <v>44</v>
      </c>
      <c r="L242" s="6" t="s">
        <v>33</v>
      </c>
      <c r="M242" s="6">
        <f t="shared" si="1"/>
        <v>342.34</v>
      </c>
      <c r="N242" s="6">
        <f t="shared" si="2"/>
        <v>383.96556</v>
      </c>
      <c r="O242" s="6">
        <f t="shared" si="3"/>
        <v>41.62556</v>
      </c>
      <c r="P242" s="7">
        <f t="shared" si="4"/>
        <v>0.1084096188</v>
      </c>
      <c r="Q242" s="6" t="s">
        <v>76</v>
      </c>
      <c r="R242" s="8">
        <f t="shared" si="5"/>
        <v>28.63444</v>
      </c>
    </row>
    <row r="243" ht="14.25" customHeight="1">
      <c r="A243" s="6" t="s">
        <v>727</v>
      </c>
      <c r="B243" s="6" t="s">
        <v>728</v>
      </c>
      <c r="C243" s="6" t="s">
        <v>729</v>
      </c>
      <c r="D243" s="6" t="s">
        <v>48</v>
      </c>
      <c r="E243" s="6" t="s">
        <v>38</v>
      </c>
      <c r="F243" s="6" t="s">
        <v>39</v>
      </c>
      <c r="G243" s="6">
        <v>4.0</v>
      </c>
      <c r="H243" s="6">
        <v>122.88</v>
      </c>
      <c r="I243" s="6">
        <v>153.67</v>
      </c>
      <c r="J243" s="6">
        <v>5.38</v>
      </c>
      <c r="K243" s="6" t="s">
        <v>44</v>
      </c>
      <c r="L243" s="6" t="s">
        <v>55</v>
      </c>
      <c r="M243" s="6">
        <f t="shared" si="1"/>
        <v>491.52</v>
      </c>
      <c r="N243" s="6">
        <f t="shared" si="2"/>
        <v>581.610216</v>
      </c>
      <c r="O243" s="6">
        <f t="shared" si="3"/>
        <v>90.090216</v>
      </c>
      <c r="P243" s="7">
        <f t="shared" si="4"/>
        <v>0.1548979257</v>
      </c>
      <c r="Q243" s="6" t="s">
        <v>40</v>
      </c>
      <c r="R243" s="8">
        <f t="shared" si="5"/>
        <v>33.069784</v>
      </c>
    </row>
    <row r="244" ht="14.25" customHeight="1">
      <c r="A244" s="6" t="s">
        <v>730</v>
      </c>
      <c r="B244" s="6" t="s">
        <v>731</v>
      </c>
      <c r="C244" s="6" t="s">
        <v>732</v>
      </c>
      <c r="D244" s="6" t="s">
        <v>83</v>
      </c>
      <c r="E244" s="6" t="s">
        <v>38</v>
      </c>
      <c r="F244" s="6" t="s">
        <v>39</v>
      </c>
      <c r="G244" s="6">
        <v>5.0</v>
      </c>
      <c r="H244" s="6">
        <v>85.71</v>
      </c>
      <c r="I244" s="6">
        <v>164.68</v>
      </c>
      <c r="J244" s="6">
        <v>7.99</v>
      </c>
      <c r="K244" s="6" t="s">
        <v>44</v>
      </c>
      <c r="L244" s="6" t="s">
        <v>25</v>
      </c>
      <c r="M244" s="6">
        <f t="shared" si="1"/>
        <v>428.55</v>
      </c>
      <c r="N244" s="6">
        <f t="shared" si="2"/>
        <v>757.61034</v>
      </c>
      <c r="O244" s="6">
        <f t="shared" si="3"/>
        <v>329.06034</v>
      </c>
      <c r="P244" s="7">
        <f t="shared" si="4"/>
        <v>0.4343398217</v>
      </c>
      <c r="Q244" s="6" t="s">
        <v>40</v>
      </c>
      <c r="R244" s="8">
        <f t="shared" si="5"/>
        <v>65.78966</v>
      </c>
    </row>
    <row r="245" ht="14.25" customHeight="1">
      <c r="A245" s="6" t="s">
        <v>733</v>
      </c>
      <c r="B245" s="6" t="s">
        <v>734</v>
      </c>
      <c r="C245" s="6" t="s">
        <v>735</v>
      </c>
      <c r="D245" s="6" t="s">
        <v>30</v>
      </c>
      <c r="E245" s="6" t="s">
        <v>104</v>
      </c>
      <c r="F245" s="6" t="s">
        <v>105</v>
      </c>
      <c r="G245" s="6">
        <v>7.0</v>
      </c>
      <c r="H245" s="6">
        <v>127.14</v>
      </c>
      <c r="I245" s="6">
        <v>179.12</v>
      </c>
      <c r="J245" s="6">
        <v>18.66</v>
      </c>
      <c r="K245" s="6" t="s">
        <v>24</v>
      </c>
      <c r="L245" s="6" t="s">
        <v>61</v>
      </c>
      <c r="M245" s="6">
        <f t="shared" si="1"/>
        <v>889.98</v>
      </c>
      <c r="N245" s="6">
        <f t="shared" si="2"/>
        <v>1019.873456</v>
      </c>
      <c r="O245" s="6">
        <f t="shared" si="3"/>
        <v>129.893456</v>
      </c>
      <c r="P245" s="7">
        <f t="shared" si="4"/>
        <v>0.1273623264</v>
      </c>
      <c r="Q245" s="6" t="s">
        <v>40</v>
      </c>
      <c r="R245" s="8">
        <f t="shared" si="5"/>
        <v>233.966544</v>
      </c>
    </row>
    <row r="246" ht="14.25" customHeight="1">
      <c r="A246" s="6" t="s">
        <v>736</v>
      </c>
      <c r="B246" s="6" t="s">
        <v>737</v>
      </c>
      <c r="C246" s="6" t="s">
        <v>738</v>
      </c>
      <c r="D246" s="6" t="s">
        <v>70</v>
      </c>
      <c r="E246" s="6" t="s">
        <v>65</v>
      </c>
      <c r="F246" s="6" t="s">
        <v>66</v>
      </c>
      <c r="G246" s="6">
        <v>4.0</v>
      </c>
      <c r="H246" s="6">
        <v>294.84</v>
      </c>
      <c r="I246" s="6">
        <v>411.04</v>
      </c>
      <c r="J246" s="6">
        <v>16.94</v>
      </c>
      <c r="K246" s="6" t="s">
        <v>44</v>
      </c>
      <c r="L246" s="6" t="s">
        <v>25</v>
      </c>
      <c r="M246" s="6">
        <f t="shared" si="1"/>
        <v>1179.36</v>
      </c>
      <c r="N246" s="6">
        <f t="shared" si="2"/>
        <v>1365.639296</v>
      </c>
      <c r="O246" s="6">
        <f t="shared" si="3"/>
        <v>186.279296</v>
      </c>
      <c r="P246" s="7">
        <f t="shared" si="4"/>
        <v>0.1364044639</v>
      </c>
      <c r="Q246" s="6" t="s">
        <v>40</v>
      </c>
      <c r="R246" s="8">
        <f t="shared" si="5"/>
        <v>278.520704</v>
      </c>
    </row>
    <row r="247" ht="14.25" customHeight="1">
      <c r="A247" s="6" t="s">
        <v>739</v>
      </c>
      <c r="B247" s="6" t="s">
        <v>740</v>
      </c>
      <c r="C247" s="6" t="s">
        <v>741</v>
      </c>
      <c r="D247" s="6" t="s">
        <v>64</v>
      </c>
      <c r="E247" s="6" t="s">
        <v>38</v>
      </c>
      <c r="F247" s="6" t="s">
        <v>39</v>
      </c>
      <c r="G247" s="6">
        <v>5.0</v>
      </c>
      <c r="H247" s="6">
        <v>159.99</v>
      </c>
      <c r="I247" s="6">
        <v>298.85</v>
      </c>
      <c r="J247" s="6">
        <v>13.01</v>
      </c>
      <c r="K247" s="6" t="s">
        <v>44</v>
      </c>
      <c r="L247" s="6" t="s">
        <v>25</v>
      </c>
      <c r="M247" s="6">
        <f t="shared" si="1"/>
        <v>799.95</v>
      </c>
      <c r="N247" s="6">
        <f t="shared" si="2"/>
        <v>1299.848075</v>
      </c>
      <c r="O247" s="6">
        <f t="shared" si="3"/>
        <v>499.898075</v>
      </c>
      <c r="P247" s="7">
        <f t="shared" si="4"/>
        <v>0.3845819251</v>
      </c>
      <c r="Q247" s="6" t="s">
        <v>40</v>
      </c>
      <c r="R247" s="8">
        <f t="shared" si="5"/>
        <v>194.401925</v>
      </c>
    </row>
    <row r="248" ht="14.25" customHeight="1">
      <c r="A248" s="6" t="s">
        <v>742</v>
      </c>
      <c r="B248" s="6" t="s">
        <v>514</v>
      </c>
      <c r="C248" s="6" t="s">
        <v>743</v>
      </c>
      <c r="D248" s="6" t="s">
        <v>83</v>
      </c>
      <c r="E248" s="6" t="s">
        <v>53</v>
      </c>
      <c r="F248" s="6" t="s">
        <v>54</v>
      </c>
      <c r="G248" s="6">
        <v>1.0</v>
      </c>
      <c r="H248" s="6">
        <v>50.86</v>
      </c>
      <c r="I248" s="6">
        <v>84.0</v>
      </c>
      <c r="J248" s="6">
        <v>5.28</v>
      </c>
      <c r="K248" s="6" t="s">
        <v>24</v>
      </c>
      <c r="L248" s="6" t="s">
        <v>55</v>
      </c>
      <c r="M248" s="6">
        <f t="shared" si="1"/>
        <v>50.86</v>
      </c>
      <c r="N248" s="6">
        <f t="shared" si="2"/>
        <v>79.5648</v>
      </c>
      <c r="O248" s="6">
        <f t="shared" si="3"/>
        <v>28.7048</v>
      </c>
      <c r="P248" s="7">
        <f t="shared" si="4"/>
        <v>0.360772603</v>
      </c>
      <c r="Q248" s="6" t="s">
        <v>49</v>
      </c>
      <c r="R248" s="8">
        <f t="shared" si="5"/>
        <v>4.4352</v>
      </c>
    </row>
    <row r="249" ht="14.25" customHeight="1">
      <c r="A249" s="6" t="s">
        <v>744</v>
      </c>
      <c r="B249" s="6" t="s">
        <v>745</v>
      </c>
      <c r="C249" s="6" t="s">
        <v>743</v>
      </c>
      <c r="D249" s="6" t="s">
        <v>30</v>
      </c>
      <c r="E249" s="6" t="s">
        <v>38</v>
      </c>
      <c r="F249" s="6" t="s">
        <v>39</v>
      </c>
      <c r="G249" s="6">
        <v>5.0</v>
      </c>
      <c r="H249" s="6">
        <v>122.25</v>
      </c>
      <c r="I249" s="6">
        <v>197.3</v>
      </c>
      <c r="J249" s="6">
        <v>9.82</v>
      </c>
      <c r="K249" s="6" t="s">
        <v>24</v>
      </c>
      <c r="L249" s="6" t="s">
        <v>33</v>
      </c>
      <c r="M249" s="6">
        <f t="shared" si="1"/>
        <v>611.25</v>
      </c>
      <c r="N249" s="6">
        <f t="shared" si="2"/>
        <v>889.6257</v>
      </c>
      <c r="O249" s="6">
        <f t="shared" si="3"/>
        <v>278.3757</v>
      </c>
      <c r="P249" s="7">
        <f t="shared" si="4"/>
        <v>0.3129132848</v>
      </c>
      <c r="Q249" s="6" t="s">
        <v>34</v>
      </c>
      <c r="R249" s="8">
        <f t="shared" si="5"/>
        <v>96.8743</v>
      </c>
    </row>
    <row r="250" ht="14.25" customHeight="1">
      <c r="A250" s="6" t="s">
        <v>746</v>
      </c>
      <c r="B250" s="6" t="s">
        <v>747</v>
      </c>
      <c r="C250" s="6" t="s">
        <v>748</v>
      </c>
      <c r="D250" s="6" t="s">
        <v>83</v>
      </c>
      <c r="E250" s="6" t="s">
        <v>22</v>
      </c>
      <c r="F250" s="6" t="s">
        <v>23</v>
      </c>
      <c r="G250" s="6">
        <v>7.0</v>
      </c>
      <c r="H250" s="6">
        <v>457.76</v>
      </c>
      <c r="I250" s="6">
        <v>582.46</v>
      </c>
      <c r="J250" s="6">
        <v>20.03</v>
      </c>
      <c r="K250" s="6" t="s">
        <v>44</v>
      </c>
      <c r="L250" s="6" t="s">
        <v>61</v>
      </c>
      <c r="M250" s="6">
        <f t="shared" si="1"/>
        <v>3204.32</v>
      </c>
      <c r="N250" s="6">
        <f t="shared" si="2"/>
        <v>3260.552834</v>
      </c>
      <c r="O250" s="6">
        <f t="shared" si="3"/>
        <v>56.232834</v>
      </c>
      <c r="P250" s="7">
        <f t="shared" si="4"/>
        <v>0.01724641092</v>
      </c>
      <c r="Q250" s="6" t="s">
        <v>40</v>
      </c>
      <c r="R250" s="8">
        <f t="shared" si="5"/>
        <v>816.667166</v>
      </c>
    </row>
    <row r="251" ht="14.25" customHeight="1">
      <c r="A251" s="6" t="s">
        <v>749</v>
      </c>
      <c r="B251" s="6" t="s">
        <v>750</v>
      </c>
      <c r="C251" s="6" t="s">
        <v>751</v>
      </c>
      <c r="D251" s="6" t="s">
        <v>83</v>
      </c>
      <c r="E251" s="6" t="s">
        <v>22</v>
      </c>
      <c r="F251" s="6" t="s">
        <v>23</v>
      </c>
      <c r="G251" s="6">
        <v>4.0</v>
      </c>
      <c r="H251" s="6">
        <v>211.11</v>
      </c>
      <c r="I251" s="6">
        <v>377.42</v>
      </c>
      <c r="J251" s="6">
        <v>9.52</v>
      </c>
      <c r="K251" s="6" t="s">
        <v>24</v>
      </c>
      <c r="L251" s="6" t="s">
        <v>55</v>
      </c>
      <c r="M251" s="6">
        <f t="shared" si="1"/>
        <v>844.44</v>
      </c>
      <c r="N251" s="6">
        <f t="shared" si="2"/>
        <v>1365.958464</v>
      </c>
      <c r="O251" s="6">
        <f t="shared" si="3"/>
        <v>521.518464</v>
      </c>
      <c r="P251" s="7">
        <f t="shared" si="4"/>
        <v>0.381796722</v>
      </c>
      <c r="Q251" s="6" t="s">
        <v>34</v>
      </c>
      <c r="R251" s="8">
        <f t="shared" si="5"/>
        <v>143.721536</v>
      </c>
    </row>
    <row r="252" ht="14.25" customHeight="1">
      <c r="A252" s="6" t="s">
        <v>752</v>
      </c>
      <c r="B252" s="6" t="s">
        <v>753</v>
      </c>
      <c r="C252" s="6" t="s">
        <v>754</v>
      </c>
      <c r="D252" s="6" t="s">
        <v>70</v>
      </c>
      <c r="E252" s="6" t="s">
        <v>22</v>
      </c>
      <c r="F252" s="6" t="s">
        <v>23</v>
      </c>
      <c r="G252" s="6">
        <v>2.0</v>
      </c>
      <c r="H252" s="6">
        <v>150.86</v>
      </c>
      <c r="I252" s="6">
        <v>236.33</v>
      </c>
      <c r="J252" s="6">
        <v>3.07</v>
      </c>
      <c r="K252" s="6" t="s">
        <v>24</v>
      </c>
      <c r="L252" s="6" t="s">
        <v>61</v>
      </c>
      <c r="M252" s="6">
        <f t="shared" si="1"/>
        <v>301.72</v>
      </c>
      <c r="N252" s="6">
        <f t="shared" si="2"/>
        <v>458.149338</v>
      </c>
      <c r="O252" s="6">
        <f t="shared" si="3"/>
        <v>156.429338</v>
      </c>
      <c r="P252" s="7">
        <f t="shared" si="4"/>
        <v>0.341437442</v>
      </c>
      <c r="Q252" s="6" t="s">
        <v>76</v>
      </c>
      <c r="R252" s="8">
        <f t="shared" si="5"/>
        <v>14.510662</v>
      </c>
    </row>
    <row r="253" ht="14.25" customHeight="1">
      <c r="A253" s="6" t="s">
        <v>755</v>
      </c>
      <c r="B253" s="6" t="s">
        <v>756</v>
      </c>
      <c r="C253" s="6" t="s">
        <v>757</v>
      </c>
      <c r="D253" s="6" t="s">
        <v>70</v>
      </c>
      <c r="E253" s="6" t="s">
        <v>38</v>
      </c>
      <c r="F253" s="6" t="s">
        <v>39</v>
      </c>
      <c r="G253" s="6">
        <v>3.0</v>
      </c>
      <c r="H253" s="6">
        <v>371.68</v>
      </c>
      <c r="I253" s="6">
        <v>532.33</v>
      </c>
      <c r="J253" s="6">
        <v>10.02</v>
      </c>
      <c r="K253" s="6" t="s">
        <v>44</v>
      </c>
      <c r="L253" s="6" t="s">
        <v>25</v>
      </c>
      <c r="M253" s="6">
        <f t="shared" si="1"/>
        <v>1115.04</v>
      </c>
      <c r="N253" s="6">
        <f t="shared" si="2"/>
        <v>1436.971602</v>
      </c>
      <c r="O253" s="6">
        <f t="shared" si="3"/>
        <v>321.931602</v>
      </c>
      <c r="P253" s="7">
        <f t="shared" si="4"/>
        <v>0.2240347698</v>
      </c>
      <c r="Q253" s="6" t="s">
        <v>26</v>
      </c>
      <c r="R253" s="8">
        <f t="shared" si="5"/>
        <v>160.018398</v>
      </c>
    </row>
    <row r="254" ht="14.25" customHeight="1">
      <c r="A254" s="6" t="s">
        <v>758</v>
      </c>
      <c r="B254" s="6" t="s">
        <v>449</v>
      </c>
      <c r="C254" s="6" t="s">
        <v>759</v>
      </c>
      <c r="D254" s="6" t="s">
        <v>70</v>
      </c>
      <c r="E254" s="6" t="s">
        <v>87</v>
      </c>
      <c r="F254" s="6" t="s">
        <v>88</v>
      </c>
      <c r="G254" s="6">
        <v>4.0</v>
      </c>
      <c r="H254" s="6">
        <v>249.5</v>
      </c>
      <c r="I254" s="6">
        <v>298.3</v>
      </c>
      <c r="J254" s="6">
        <v>24.31</v>
      </c>
      <c r="K254" s="6" t="s">
        <v>24</v>
      </c>
      <c r="L254" s="6" t="s">
        <v>25</v>
      </c>
      <c r="M254" s="6">
        <f t="shared" si="1"/>
        <v>998</v>
      </c>
      <c r="N254" s="6">
        <f t="shared" si="2"/>
        <v>903.13308</v>
      </c>
      <c r="O254" s="6">
        <f t="shared" si="3"/>
        <v>-94.86692</v>
      </c>
      <c r="P254" s="7">
        <f t="shared" si="4"/>
        <v>-0.1050420166</v>
      </c>
      <c r="Q254" s="6" t="s">
        <v>49</v>
      </c>
      <c r="R254" s="8">
        <f t="shared" si="5"/>
        <v>290.06692</v>
      </c>
    </row>
    <row r="255" ht="14.25" customHeight="1">
      <c r="A255" s="6" t="s">
        <v>760</v>
      </c>
      <c r="B255" s="6" t="s">
        <v>761</v>
      </c>
      <c r="C255" s="6" t="s">
        <v>759</v>
      </c>
      <c r="D255" s="6" t="s">
        <v>70</v>
      </c>
      <c r="E255" s="6" t="s">
        <v>65</v>
      </c>
      <c r="F255" s="6" t="s">
        <v>75</v>
      </c>
      <c r="G255" s="6">
        <v>1.0</v>
      </c>
      <c r="H255" s="6">
        <v>252.95</v>
      </c>
      <c r="I255" s="6">
        <v>467.12</v>
      </c>
      <c r="J255" s="6">
        <v>3.22</v>
      </c>
      <c r="K255" s="6" t="s">
        <v>44</v>
      </c>
      <c r="L255" s="6" t="s">
        <v>55</v>
      </c>
      <c r="M255" s="6">
        <f t="shared" si="1"/>
        <v>252.95</v>
      </c>
      <c r="N255" s="6">
        <f t="shared" si="2"/>
        <v>452.078736</v>
      </c>
      <c r="O255" s="6">
        <f t="shared" si="3"/>
        <v>199.128736</v>
      </c>
      <c r="P255" s="7">
        <f t="shared" si="4"/>
        <v>0.4404735727</v>
      </c>
      <c r="Q255" s="6" t="s">
        <v>76</v>
      </c>
      <c r="R255" s="8">
        <f t="shared" si="5"/>
        <v>15.041264</v>
      </c>
    </row>
    <row r="256" ht="14.25" customHeight="1">
      <c r="A256" s="6" t="s">
        <v>762</v>
      </c>
      <c r="B256" s="6" t="s">
        <v>763</v>
      </c>
      <c r="C256" s="6" t="s">
        <v>764</v>
      </c>
      <c r="D256" s="6" t="s">
        <v>83</v>
      </c>
      <c r="E256" s="6" t="s">
        <v>59</v>
      </c>
      <c r="F256" s="6" t="s">
        <v>60</v>
      </c>
      <c r="G256" s="6">
        <v>2.0</v>
      </c>
      <c r="H256" s="6">
        <v>95.83</v>
      </c>
      <c r="I256" s="6">
        <v>136.82</v>
      </c>
      <c r="J256" s="6">
        <v>19.94</v>
      </c>
      <c r="K256" s="6" t="s">
        <v>44</v>
      </c>
      <c r="L256" s="6" t="s">
        <v>61</v>
      </c>
      <c r="M256" s="6">
        <f t="shared" si="1"/>
        <v>191.66</v>
      </c>
      <c r="N256" s="6">
        <f t="shared" si="2"/>
        <v>219.076184</v>
      </c>
      <c r="O256" s="6">
        <f t="shared" si="3"/>
        <v>27.416184</v>
      </c>
      <c r="P256" s="7">
        <f t="shared" si="4"/>
        <v>0.1251445205</v>
      </c>
      <c r="Q256" s="6" t="s">
        <v>40</v>
      </c>
      <c r="R256" s="8">
        <f t="shared" si="5"/>
        <v>54.563816</v>
      </c>
    </row>
    <row r="257" ht="14.25" customHeight="1">
      <c r="A257" s="6" t="s">
        <v>765</v>
      </c>
      <c r="B257" s="6" t="s">
        <v>46</v>
      </c>
      <c r="C257" s="6" t="s">
        <v>766</v>
      </c>
      <c r="D257" s="6" t="s">
        <v>64</v>
      </c>
      <c r="E257" s="6" t="s">
        <v>87</v>
      </c>
      <c r="F257" s="6" t="s">
        <v>88</v>
      </c>
      <c r="G257" s="6">
        <v>1.0</v>
      </c>
      <c r="H257" s="6">
        <v>253.44</v>
      </c>
      <c r="I257" s="6">
        <v>468.44</v>
      </c>
      <c r="J257" s="6">
        <v>17.39</v>
      </c>
      <c r="K257" s="6" t="s">
        <v>44</v>
      </c>
      <c r="L257" s="6" t="s">
        <v>61</v>
      </c>
      <c r="M257" s="6">
        <f t="shared" si="1"/>
        <v>253.44</v>
      </c>
      <c r="N257" s="6">
        <f t="shared" si="2"/>
        <v>386.978284</v>
      </c>
      <c r="O257" s="6">
        <f t="shared" si="3"/>
        <v>133.538284</v>
      </c>
      <c r="P257" s="7">
        <f t="shared" si="4"/>
        <v>0.3450795291</v>
      </c>
      <c r="Q257" s="6" t="s">
        <v>40</v>
      </c>
      <c r="R257" s="8">
        <f t="shared" si="5"/>
        <v>81.461716</v>
      </c>
    </row>
    <row r="258" ht="14.25" customHeight="1">
      <c r="A258" s="6" t="s">
        <v>767</v>
      </c>
      <c r="B258" s="6" t="s">
        <v>768</v>
      </c>
      <c r="C258" s="6" t="s">
        <v>769</v>
      </c>
      <c r="D258" s="6" t="s">
        <v>70</v>
      </c>
      <c r="E258" s="6" t="s">
        <v>38</v>
      </c>
      <c r="F258" s="6" t="s">
        <v>39</v>
      </c>
      <c r="G258" s="6">
        <v>3.0</v>
      </c>
      <c r="H258" s="6">
        <v>343.44</v>
      </c>
      <c r="I258" s="6">
        <v>562.96</v>
      </c>
      <c r="J258" s="6">
        <v>24.04</v>
      </c>
      <c r="K258" s="6" t="s">
        <v>24</v>
      </c>
      <c r="L258" s="6" t="s">
        <v>25</v>
      </c>
      <c r="M258" s="6">
        <f t="shared" si="1"/>
        <v>1030.32</v>
      </c>
      <c r="N258" s="6">
        <f t="shared" si="2"/>
        <v>1282.873248</v>
      </c>
      <c r="O258" s="6">
        <f t="shared" si="3"/>
        <v>252.553248</v>
      </c>
      <c r="P258" s="7">
        <f t="shared" si="4"/>
        <v>0.1968653165</v>
      </c>
      <c r="Q258" s="6" t="s">
        <v>40</v>
      </c>
      <c r="R258" s="8">
        <f t="shared" si="5"/>
        <v>406.006752</v>
      </c>
    </row>
    <row r="259" ht="14.25" customHeight="1">
      <c r="A259" s="6" t="s">
        <v>770</v>
      </c>
      <c r="B259" s="6" t="s">
        <v>771</v>
      </c>
      <c r="C259" s="6" t="s">
        <v>772</v>
      </c>
      <c r="D259" s="6" t="s">
        <v>21</v>
      </c>
      <c r="E259" s="6" t="s">
        <v>59</v>
      </c>
      <c r="F259" s="6" t="s">
        <v>60</v>
      </c>
      <c r="G259" s="6">
        <v>6.0</v>
      </c>
      <c r="H259" s="6">
        <v>305.23</v>
      </c>
      <c r="I259" s="6">
        <v>493.35</v>
      </c>
      <c r="J259" s="6">
        <v>23.47</v>
      </c>
      <c r="K259" s="6" t="s">
        <v>24</v>
      </c>
      <c r="L259" s="6" t="s">
        <v>25</v>
      </c>
      <c r="M259" s="6">
        <f t="shared" si="1"/>
        <v>1831.38</v>
      </c>
      <c r="N259" s="6">
        <f t="shared" si="2"/>
        <v>2265.36453</v>
      </c>
      <c r="O259" s="6">
        <f t="shared" si="3"/>
        <v>433.98453</v>
      </c>
      <c r="P259" s="7">
        <f t="shared" si="4"/>
        <v>0.191573817</v>
      </c>
      <c r="Q259" s="6" t="s">
        <v>49</v>
      </c>
      <c r="R259" s="8">
        <f t="shared" si="5"/>
        <v>694.73547</v>
      </c>
    </row>
    <row r="260" ht="14.25" customHeight="1">
      <c r="A260" s="6" t="s">
        <v>773</v>
      </c>
      <c r="B260" s="6" t="s">
        <v>774</v>
      </c>
      <c r="C260" s="6" t="s">
        <v>775</v>
      </c>
      <c r="D260" s="6" t="s">
        <v>83</v>
      </c>
      <c r="E260" s="6" t="s">
        <v>59</v>
      </c>
      <c r="F260" s="6" t="s">
        <v>60</v>
      </c>
      <c r="G260" s="6">
        <v>8.0</v>
      </c>
      <c r="H260" s="6">
        <v>364.18</v>
      </c>
      <c r="I260" s="6">
        <v>435.02</v>
      </c>
      <c r="J260" s="6">
        <v>21.99</v>
      </c>
      <c r="K260" s="6" t="s">
        <v>24</v>
      </c>
      <c r="L260" s="6" t="s">
        <v>55</v>
      </c>
      <c r="M260" s="6">
        <f t="shared" si="1"/>
        <v>2913.44</v>
      </c>
      <c r="N260" s="6">
        <f t="shared" si="2"/>
        <v>2714.872816</v>
      </c>
      <c r="O260" s="6">
        <f t="shared" si="3"/>
        <v>-198.567184</v>
      </c>
      <c r="P260" s="7">
        <f t="shared" si="4"/>
        <v>-0.07314051061</v>
      </c>
      <c r="Q260" s="6" t="s">
        <v>40</v>
      </c>
      <c r="R260" s="8">
        <f t="shared" si="5"/>
        <v>765.287184</v>
      </c>
    </row>
    <row r="261" ht="14.25" customHeight="1">
      <c r="A261" s="6" t="s">
        <v>776</v>
      </c>
      <c r="B261" s="6" t="s">
        <v>777</v>
      </c>
      <c r="C261" s="6" t="s">
        <v>778</v>
      </c>
      <c r="D261" s="6" t="s">
        <v>70</v>
      </c>
      <c r="E261" s="6" t="s">
        <v>31</v>
      </c>
      <c r="F261" s="6" t="s">
        <v>32</v>
      </c>
      <c r="G261" s="6">
        <v>3.0</v>
      </c>
      <c r="H261" s="6">
        <v>144.08</v>
      </c>
      <c r="I261" s="6">
        <v>173.16</v>
      </c>
      <c r="J261" s="6">
        <v>16.49</v>
      </c>
      <c r="K261" s="6" t="s">
        <v>24</v>
      </c>
      <c r="L261" s="6" t="s">
        <v>55</v>
      </c>
      <c r="M261" s="6">
        <f t="shared" si="1"/>
        <v>432.24</v>
      </c>
      <c r="N261" s="6">
        <f t="shared" si="2"/>
        <v>433.817748</v>
      </c>
      <c r="O261" s="6">
        <f t="shared" si="3"/>
        <v>1.577748</v>
      </c>
      <c r="P261" s="7">
        <f t="shared" si="4"/>
        <v>0.003636891315</v>
      </c>
      <c r="Q261" s="6" t="s">
        <v>49</v>
      </c>
      <c r="R261" s="8">
        <f t="shared" si="5"/>
        <v>85.662252</v>
      </c>
    </row>
    <row r="262" ht="14.25" customHeight="1">
      <c r="A262" s="6" t="s">
        <v>779</v>
      </c>
      <c r="B262" s="6" t="s">
        <v>577</v>
      </c>
      <c r="C262" s="6" t="s">
        <v>780</v>
      </c>
      <c r="D262" s="6" t="s">
        <v>30</v>
      </c>
      <c r="E262" s="6" t="s">
        <v>53</v>
      </c>
      <c r="F262" s="6" t="s">
        <v>54</v>
      </c>
      <c r="G262" s="6">
        <v>3.0</v>
      </c>
      <c r="H262" s="6">
        <v>101.95</v>
      </c>
      <c r="I262" s="6">
        <v>150.06</v>
      </c>
      <c r="J262" s="6">
        <v>22.27</v>
      </c>
      <c r="K262" s="6" t="s">
        <v>44</v>
      </c>
      <c r="L262" s="6" t="s">
        <v>55</v>
      </c>
      <c r="M262" s="6">
        <f t="shared" si="1"/>
        <v>305.85</v>
      </c>
      <c r="N262" s="6">
        <f t="shared" si="2"/>
        <v>349.924914</v>
      </c>
      <c r="O262" s="6">
        <f t="shared" si="3"/>
        <v>44.074914</v>
      </c>
      <c r="P262" s="7">
        <f t="shared" si="4"/>
        <v>0.1259553471</v>
      </c>
      <c r="Q262" s="6" t="s">
        <v>76</v>
      </c>
      <c r="R262" s="8">
        <f t="shared" si="5"/>
        <v>100.255086</v>
      </c>
    </row>
    <row r="263" ht="14.25" customHeight="1">
      <c r="A263" s="6" t="s">
        <v>781</v>
      </c>
      <c r="B263" s="6" t="s">
        <v>782</v>
      </c>
      <c r="C263" s="6" t="s">
        <v>780</v>
      </c>
      <c r="D263" s="6" t="s">
        <v>70</v>
      </c>
      <c r="E263" s="6" t="s">
        <v>65</v>
      </c>
      <c r="F263" s="6" t="s">
        <v>66</v>
      </c>
      <c r="G263" s="6">
        <v>6.0</v>
      </c>
      <c r="H263" s="6">
        <v>50.29</v>
      </c>
      <c r="I263" s="6">
        <v>84.11</v>
      </c>
      <c r="J263" s="6">
        <v>13.19</v>
      </c>
      <c r="K263" s="6" t="s">
        <v>24</v>
      </c>
      <c r="L263" s="6" t="s">
        <v>61</v>
      </c>
      <c r="M263" s="6">
        <f t="shared" si="1"/>
        <v>301.74</v>
      </c>
      <c r="N263" s="6">
        <f t="shared" si="2"/>
        <v>438.095346</v>
      </c>
      <c r="O263" s="6">
        <f t="shared" si="3"/>
        <v>136.355346</v>
      </c>
      <c r="P263" s="7">
        <f t="shared" si="4"/>
        <v>0.3112458218</v>
      </c>
      <c r="Q263" s="6" t="s">
        <v>76</v>
      </c>
      <c r="R263" s="8">
        <f t="shared" si="5"/>
        <v>66.564654</v>
      </c>
    </row>
    <row r="264" ht="14.25" customHeight="1">
      <c r="A264" s="6" t="s">
        <v>783</v>
      </c>
      <c r="B264" s="6" t="s">
        <v>784</v>
      </c>
      <c r="C264" s="6" t="s">
        <v>780</v>
      </c>
      <c r="D264" s="6" t="s">
        <v>83</v>
      </c>
      <c r="E264" s="6" t="s">
        <v>38</v>
      </c>
      <c r="F264" s="6" t="s">
        <v>71</v>
      </c>
      <c r="G264" s="6">
        <v>2.0</v>
      </c>
      <c r="H264" s="6">
        <v>232.15</v>
      </c>
      <c r="I264" s="6">
        <v>327.95</v>
      </c>
      <c r="J264" s="6">
        <v>3.95</v>
      </c>
      <c r="K264" s="6" t="s">
        <v>44</v>
      </c>
      <c r="L264" s="6" t="s">
        <v>25</v>
      </c>
      <c r="M264" s="6">
        <f t="shared" si="1"/>
        <v>464.3</v>
      </c>
      <c r="N264" s="6">
        <f t="shared" si="2"/>
        <v>629.99195</v>
      </c>
      <c r="O264" s="6">
        <f t="shared" si="3"/>
        <v>165.69195</v>
      </c>
      <c r="P264" s="7">
        <f t="shared" si="4"/>
        <v>0.2630064559</v>
      </c>
      <c r="Q264" s="6" t="s">
        <v>76</v>
      </c>
      <c r="R264" s="8">
        <f t="shared" si="5"/>
        <v>25.90805</v>
      </c>
    </row>
    <row r="265" ht="14.25" customHeight="1">
      <c r="A265" s="6" t="s">
        <v>785</v>
      </c>
      <c r="B265" s="6" t="s">
        <v>786</v>
      </c>
      <c r="C265" s="6" t="s">
        <v>787</v>
      </c>
      <c r="D265" s="6" t="s">
        <v>48</v>
      </c>
      <c r="E265" s="6" t="s">
        <v>22</v>
      </c>
      <c r="F265" s="6" t="s">
        <v>23</v>
      </c>
      <c r="G265" s="6">
        <v>6.0</v>
      </c>
      <c r="H265" s="6">
        <v>251.38</v>
      </c>
      <c r="I265" s="6">
        <v>416.57</v>
      </c>
      <c r="J265" s="6">
        <v>22.4</v>
      </c>
      <c r="K265" s="6" t="s">
        <v>24</v>
      </c>
      <c r="L265" s="6" t="s">
        <v>55</v>
      </c>
      <c r="M265" s="6">
        <f t="shared" si="1"/>
        <v>1508.28</v>
      </c>
      <c r="N265" s="6">
        <f t="shared" si="2"/>
        <v>1939.54992</v>
      </c>
      <c r="O265" s="6">
        <f t="shared" si="3"/>
        <v>431.26992</v>
      </c>
      <c r="P265" s="7">
        <f t="shared" si="4"/>
        <v>0.222355669</v>
      </c>
      <c r="Q265" s="6" t="s">
        <v>49</v>
      </c>
      <c r="R265" s="8">
        <f t="shared" si="5"/>
        <v>559.87008</v>
      </c>
    </row>
    <row r="266" ht="14.25" customHeight="1">
      <c r="A266" s="6" t="s">
        <v>788</v>
      </c>
      <c r="B266" s="6" t="s">
        <v>789</v>
      </c>
      <c r="C266" s="6" t="s">
        <v>790</v>
      </c>
      <c r="D266" s="6" t="s">
        <v>64</v>
      </c>
      <c r="E266" s="6" t="s">
        <v>53</v>
      </c>
      <c r="F266" s="6" t="s">
        <v>54</v>
      </c>
      <c r="G266" s="6">
        <v>6.0</v>
      </c>
      <c r="H266" s="6">
        <v>193.02</v>
      </c>
      <c r="I266" s="6">
        <v>229.97</v>
      </c>
      <c r="J266" s="6">
        <v>12.47</v>
      </c>
      <c r="K266" s="6" t="s">
        <v>44</v>
      </c>
      <c r="L266" s="6" t="s">
        <v>55</v>
      </c>
      <c r="M266" s="6">
        <f t="shared" si="1"/>
        <v>1158.12</v>
      </c>
      <c r="N266" s="6">
        <f t="shared" si="2"/>
        <v>1207.756446</v>
      </c>
      <c r="O266" s="6">
        <f t="shared" si="3"/>
        <v>49.636446</v>
      </c>
      <c r="P266" s="7">
        <f t="shared" si="4"/>
        <v>0.04109805927</v>
      </c>
      <c r="Q266" s="6" t="s">
        <v>26</v>
      </c>
      <c r="R266" s="8">
        <f t="shared" si="5"/>
        <v>172.063554</v>
      </c>
    </row>
    <row r="267" ht="14.25" customHeight="1">
      <c r="A267" s="6" t="s">
        <v>791</v>
      </c>
      <c r="B267" s="6" t="s">
        <v>792</v>
      </c>
      <c r="C267" s="6" t="s">
        <v>793</v>
      </c>
      <c r="D267" s="6" t="s">
        <v>30</v>
      </c>
      <c r="E267" s="6" t="s">
        <v>65</v>
      </c>
      <c r="F267" s="6" t="s">
        <v>66</v>
      </c>
      <c r="G267" s="6">
        <v>8.0</v>
      </c>
      <c r="H267" s="6">
        <v>171.54</v>
      </c>
      <c r="I267" s="6">
        <v>318.04</v>
      </c>
      <c r="J267" s="6">
        <v>17.99</v>
      </c>
      <c r="K267" s="6" t="s">
        <v>24</v>
      </c>
      <c r="L267" s="6" t="s">
        <v>25</v>
      </c>
      <c r="M267" s="6">
        <f t="shared" si="1"/>
        <v>1372.32</v>
      </c>
      <c r="N267" s="6">
        <f t="shared" si="2"/>
        <v>2086.596832</v>
      </c>
      <c r="O267" s="6">
        <f t="shared" si="3"/>
        <v>714.276832</v>
      </c>
      <c r="P267" s="7">
        <f t="shared" si="4"/>
        <v>0.3423166474</v>
      </c>
      <c r="Q267" s="6" t="s">
        <v>76</v>
      </c>
      <c r="R267" s="8">
        <f t="shared" si="5"/>
        <v>457.723168</v>
      </c>
    </row>
    <row r="268" ht="14.25" customHeight="1">
      <c r="A268" s="6" t="s">
        <v>794</v>
      </c>
      <c r="B268" s="6" t="s">
        <v>795</v>
      </c>
      <c r="C268" s="6" t="s">
        <v>796</v>
      </c>
      <c r="D268" s="6" t="s">
        <v>70</v>
      </c>
      <c r="E268" s="6" t="s">
        <v>38</v>
      </c>
      <c r="F268" s="6" t="s">
        <v>39</v>
      </c>
      <c r="G268" s="6">
        <v>2.0</v>
      </c>
      <c r="H268" s="6">
        <v>429.06</v>
      </c>
      <c r="I268" s="6">
        <v>589.74</v>
      </c>
      <c r="J268" s="6">
        <v>14.83</v>
      </c>
      <c r="K268" s="6" t="s">
        <v>24</v>
      </c>
      <c r="L268" s="6" t="s">
        <v>33</v>
      </c>
      <c r="M268" s="6">
        <f t="shared" si="1"/>
        <v>858.12</v>
      </c>
      <c r="N268" s="6">
        <f t="shared" si="2"/>
        <v>1004.563116</v>
      </c>
      <c r="O268" s="6">
        <f t="shared" si="3"/>
        <v>146.443116</v>
      </c>
      <c r="P268" s="7">
        <f t="shared" si="4"/>
        <v>0.1457779145</v>
      </c>
      <c r="Q268" s="6" t="s">
        <v>49</v>
      </c>
      <c r="R268" s="8">
        <f t="shared" si="5"/>
        <v>174.916884</v>
      </c>
    </row>
    <row r="269" ht="14.25" customHeight="1">
      <c r="A269" s="6" t="s">
        <v>797</v>
      </c>
      <c r="B269" s="6" t="s">
        <v>798</v>
      </c>
      <c r="C269" s="6" t="s">
        <v>799</v>
      </c>
      <c r="D269" s="6" t="s">
        <v>83</v>
      </c>
      <c r="E269" s="6" t="s">
        <v>38</v>
      </c>
      <c r="F269" s="6" t="s">
        <v>39</v>
      </c>
      <c r="G269" s="6">
        <v>5.0</v>
      </c>
      <c r="H269" s="6">
        <v>308.05</v>
      </c>
      <c r="I269" s="6">
        <v>362.6</v>
      </c>
      <c r="J269" s="6">
        <v>11.8</v>
      </c>
      <c r="K269" s="6" t="s">
        <v>24</v>
      </c>
      <c r="L269" s="6" t="s">
        <v>33</v>
      </c>
      <c r="M269" s="6">
        <f t="shared" si="1"/>
        <v>1540.25</v>
      </c>
      <c r="N269" s="6">
        <f t="shared" si="2"/>
        <v>1599.066</v>
      </c>
      <c r="O269" s="6">
        <f t="shared" si="3"/>
        <v>58.816</v>
      </c>
      <c r="P269" s="7">
        <f t="shared" si="4"/>
        <v>0.03678147118</v>
      </c>
      <c r="Q269" s="6" t="s">
        <v>26</v>
      </c>
      <c r="R269" s="8">
        <f t="shared" si="5"/>
        <v>213.934</v>
      </c>
    </row>
    <row r="270" ht="14.25" customHeight="1">
      <c r="A270" s="6" t="s">
        <v>800</v>
      </c>
      <c r="B270" s="6" t="s">
        <v>801</v>
      </c>
      <c r="C270" s="6" t="s">
        <v>802</v>
      </c>
      <c r="D270" s="6" t="s">
        <v>48</v>
      </c>
      <c r="E270" s="6" t="s">
        <v>65</v>
      </c>
      <c r="F270" s="6" t="s">
        <v>66</v>
      </c>
      <c r="G270" s="6">
        <v>7.0</v>
      </c>
      <c r="H270" s="6">
        <v>309.68</v>
      </c>
      <c r="I270" s="6">
        <v>381.32</v>
      </c>
      <c r="J270" s="6">
        <v>14.79</v>
      </c>
      <c r="K270" s="6" t="s">
        <v>44</v>
      </c>
      <c r="L270" s="6" t="s">
        <v>61</v>
      </c>
      <c r="M270" s="6">
        <f t="shared" si="1"/>
        <v>2167.76</v>
      </c>
      <c r="N270" s="6">
        <f t="shared" si="2"/>
        <v>2274.459404</v>
      </c>
      <c r="O270" s="6">
        <f t="shared" si="3"/>
        <v>106.699404</v>
      </c>
      <c r="P270" s="7">
        <f t="shared" si="4"/>
        <v>0.04691198437</v>
      </c>
      <c r="Q270" s="6" t="s">
        <v>49</v>
      </c>
      <c r="R270" s="8">
        <f t="shared" si="5"/>
        <v>394.780596</v>
      </c>
    </row>
    <row r="271" ht="14.25" customHeight="1">
      <c r="A271" s="6" t="s">
        <v>803</v>
      </c>
      <c r="B271" s="6" t="s">
        <v>420</v>
      </c>
      <c r="C271" s="6" t="s">
        <v>804</v>
      </c>
      <c r="D271" s="6" t="s">
        <v>30</v>
      </c>
      <c r="E271" s="6" t="s">
        <v>65</v>
      </c>
      <c r="F271" s="6" t="s">
        <v>75</v>
      </c>
      <c r="G271" s="6">
        <v>3.0</v>
      </c>
      <c r="H271" s="6">
        <v>75.85</v>
      </c>
      <c r="I271" s="6">
        <v>105.89</v>
      </c>
      <c r="J271" s="6">
        <v>15.01</v>
      </c>
      <c r="K271" s="6" t="s">
        <v>24</v>
      </c>
      <c r="L271" s="6" t="s">
        <v>33</v>
      </c>
      <c r="M271" s="6">
        <f t="shared" si="1"/>
        <v>227.55</v>
      </c>
      <c r="N271" s="6">
        <f t="shared" si="2"/>
        <v>269.987733</v>
      </c>
      <c r="O271" s="6">
        <f t="shared" si="3"/>
        <v>42.437733</v>
      </c>
      <c r="P271" s="7">
        <f t="shared" si="4"/>
        <v>0.1571839303</v>
      </c>
      <c r="Q271" s="6" t="s">
        <v>26</v>
      </c>
      <c r="R271" s="8">
        <f t="shared" si="5"/>
        <v>47.682267</v>
      </c>
    </row>
    <row r="272" ht="14.25" customHeight="1">
      <c r="A272" s="6" t="s">
        <v>805</v>
      </c>
      <c r="B272" s="6" t="s">
        <v>438</v>
      </c>
      <c r="C272" s="6" t="s">
        <v>804</v>
      </c>
      <c r="D272" s="6" t="s">
        <v>64</v>
      </c>
      <c r="E272" s="6" t="s">
        <v>59</v>
      </c>
      <c r="F272" s="6" t="s">
        <v>60</v>
      </c>
      <c r="G272" s="6">
        <v>1.0</v>
      </c>
      <c r="H272" s="6">
        <v>221.11</v>
      </c>
      <c r="I272" s="6">
        <v>325.44</v>
      </c>
      <c r="J272" s="6">
        <v>19.03</v>
      </c>
      <c r="K272" s="6" t="s">
        <v>44</v>
      </c>
      <c r="L272" s="6" t="s">
        <v>33</v>
      </c>
      <c r="M272" s="6">
        <f t="shared" si="1"/>
        <v>221.11</v>
      </c>
      <c r="N272" s="6">
        <f t="shared" si="2"/>
        <v>263.508768</v>
      </c>
      <c r="O272" s="6">
        <f t="shared" si="3"/>
        <v>42.398768</v>
      </c>
      <c r="P272" s="7">
        <f t="shared" si="4"/>
        <v>0.1609007864</v>
      </c>
      <c r="Q272" s="6" t="s">
        <v>76</v>
      </c>
      <c r="R272" s="8">
        <f t="shared" si="5"/>
        <v>61.931232</v>
      </c>
    </row>
    <row r="273" ht="14.25" customHeight="1">
      <c r="A273" s="6" t="s">
        <v>806</v>
      </c>
      <c r="B273" s="6" t="s">
        <v>807</v>
      </c>
      <c r="C273" s="6" t="s">
        <v>808</v>
      </c>
      <c r="D273" s="6" t="s">
        <v>64</v>
      </c>
      <c r="E273" s="6" t="s">
        <v>22</v>
      </c>
      <c r="F273" s="6" t="s">
        <v>23</v>
      </c>
      <c r="G273" s="6">
        <v>7.0</v>
      </c>
      <c r="H273" s="6">
        <v>298.69</v>
      </c>
      <c r="I273" s="6">
        <v>525.28</v>
      </c>
      <c r="J273" s="6">
        <v>20.0</v>
      </c>
      <c r="K273" s="6" t="s">
        <v>44</v>
      </c>
      <c r="L273" s="6" t="s">
        <v>33</v>
      </c>
      <c r="M273" s="6">
        <f t="shared" si="1"/>
        <v>2090.83</v>
      </c>
      <c r="N273" s="6">
        <f t="shared" si="2"/>
        <v>2941.568</v>
      </c>
      <c r="O273" s="6">
        <f t="shared" si="3"/>
        <v>850.738</v>
      </c>
      <c r="P273" s="7">
        <f t="shared" si="4"/>
        <v>0.28921242</v>
      </c>
      <c r="Q273" s="6" t="s">
        <v>34</v>
      </c>
      <c r="R273" s="8">
        <f t="shared" si="5"/>
        <v>735.392</v>
      </c>
    </row>
    <row r="274" ht="14.25" customHeight="1">
      <c r="A274" s="6" t="s">
        <v>809</v>
      </c>
      <c r="B274" s="6" t="s">
        <v>810</v>
      </c>
      <c r="C274" s="6" t="s">
        <v>811</v>
      </c>
      <c r="D274" s="6" t="s">
        <v>21</v>
      </c>
      <c r="E274" s="6" t="s">
        <v>38</v>
      </c>
      <c r="F274" s="6" t="s">
        <v>39</v>
      </c>
      <c r="G274" s="6">
        <v>3.0</v>
      </c>
      <c r="H274" s="6">
        <v>386.91</v>
      </c>
      <c r="I274" s="6">
        <v>554.37</v>
      </c>
      <c r="J274" s="6">
        <v>16.49</v>
      </c>
      <c r="K274" s="6" t="s">
        <v>44</v>
      </c>
      <c r="L274" s="6" t="s">
        <v>33</v>
      </c>
      <c r="M274" s="6">
        <f t="shared" si="1"/>
        <v>1160.73</v>
      </c>
      <c r="N274" s="6">
        <f t="shared" si="2"/>
        <v>1388.863161</v>
      </c>
      <c r="O274" s="6">
        <f t="shared" si="3"/>
        <v>228.133161</v>
      </c>
      <c r="P274" s="7">
        <f t="shared" si="4"/>
        <v>0.1642589187</v>
      </c>
      <c r="Q274" s="6" t="s">
        <v>49</v>
      </c>
      <c r="R274" s="8">
        <f t="shared" si="5"/>
        <v>274.246839</v>
      </c>
    </row>
    <row r="275" ht="14.25" customHeight="1">
      <c r="A275" s="6" t="s">
        <v>812</v>
      </c>
      <c r="B275" s="6" t="s">
        <v>813</v>
      </c>
      <c r="C275" s="6" t="s">
        <v>814</v>
      </c>
      <c r="D275" s="6" t="s">
        <v>64</v>
      </c>
      <c r="E275" s="6" t="s">
        <v>65</v>
      </c>
      <c r="F275" s="6" t="s">
        <v>66</v>
      </c>
      <c r="G275" s="6">
        <v>8.0</v>
      </c>
      <c r="H275" s="6">
        <v>350.23</v>
      </c>
      <c r="I275" s="6">
        <v>446.72</v>
      </c>
      <c r="J275" s="6">
        <v>9.65</v>
      </c>
      <c r="K275" s="6" t="s">
        <v>44</v>
      </c>
      <c r="L275" s="6" t="s">
        <v>33</v>
      </c>
      <c r="M275" s="6">
        <f t="shared" si="1"/>
        <v>2801.84</v>
      </c>
      <c r="N275" s="6">
        <f t="shared" si="2"/>
        <v>3228.89216</v>
      </c>
      <c r="O275" s="6">
        <f t="shared" si="3"/>
        <v>427.05216</v>
      </c>
      <c r="P275" s="7">
        <f t="shared" si="4"/>
        <v>0.132259654</v>
      </c>
      <c r="Q275" s="6" t="s">
        <v>26</v>
      </c>
      <c r="R275" s="8">
        <f t="shared" si="5"/>
        <v>344.86784</v>
      </c>
    </row>
    <row r="276" ht="14.25" customHeight="1">
      <c r="A276" s="6" t="s">
        <v>815</v>
      </c>
      <c r="B276" s="6" t="s">
        <v>816</v>
      </c>
      <c r="C276" s="6" t="s">
        <v>817</v>
      </c>
      <c r="D276" s="6" t="s">
        <v>30</v>
      </c>
      <c r="E276" s="6" t="s">
        <v>104</v>
      </c>
      <c r="F276" s="6" t="s">
        <v>105</v>
      </c>
      <c r="G276" s="6">
        <v>6.0</v>
      </c>
      <c r="H276" s="6">
        <v>99.05</v>
      </c>
      <c r="I276" s="6">
        <v>185.96</v>
      </c>
      <c r="J276" s="6">
        <v>10.94</v>
      </c>
      <c r="K276" s="6" t="s">
        <v>44</v>
      </c>
      <c r="L276" s="6" t="s">
        <v>61</v>
      </c>
      <c r="M276" s="6">
        <f t="shared" si="1"/>
        <v>594.3</v>
      </c>
      <c r="N276" s="6">
        <f t="shared" si="2"/>
        <v>993.695856</v>
      </c>
      <c r="O276" s="6">
        <f t="shared" si="3"/>
        <v>399.395856</v>
      </c>
      <c r="P276" s="7">
        <f t="shared" si="4"/>
        <v>0.4019296786</v>
      </c>
      <c r="Q276" s="6" t="s">
        <v>49</v>
      </c>
      <c r="R276" s="8">
        <f t="shared" si="5"/>
        <v>122.064144</v>
      </c>
    </row>
    <row r="277" ht="14.25" customHeight="1">
      <c r="A277" s="6" t="s">
        <v>818</v>
      </c>
      <c r="B277" s="6" t="s">
        <v>819</v>
      </c>
      <c r="C277" s="6" t="s">
        <v>820</v>
      </c>
      <c r="D277" s="6" t="s">
        <v>83</v>
      </c>
      <c r="E277" s="6" t="s">
        <v>87</v>
      </c>
      <c r="F277" s="6" t="s">
        <v>88</v>
      </c>
      <c r="G277" s="6">
        <v>1.0</v>
      </c>
      <c r="H277" s="6">
        <v>353.58</v>
      </c>
      <c r="I277" s="6">
        <v>548.1</v>
      </c>
      <c r="J277" s="6">
        <v>0.39</v>
      </c>
      <c r="K277" s="6" t="s">
        <v>24</v>
      </c>
      <c r="L277" s="6" t="s">
        <v>55</v>
      </c>
      <c r="M277" s="6">
        <f t="shared" si="1"/>
        <v>353.58</v>
      </c>
      <c r="N277" s="6">
        <f t="shared" si="2"/>
        <v>545.96241</v>
      </c>
      <c r="O277" s="6">
        <f t="shared" si="3"/>
        <v>192.38241</v>
      </c>
      <c r="P277" s="7">
        <f t="shared" si="4"/>
        <v>0.3523729958</v>
      </c>
      <c r="Q277" s="6" t="s">
        <v>76</v>
      </c>
      <c r="R277" s="8">
        <f t="shared" si="5"/>
        <v>2.13759</v>
      </c>
    </row>
    <row r="278" ht="14.25" customHeight="1">
      <c r="A278" s="6" t="s">
        <v>821</v>
      </c>
      <c r="B278" s="6" t="s">
        <v>822</v>
      </c>
      <c r="C278" s="6" t="s">
        <v>823</v>
      </c>
      <c r="D278" s="6" t="s">
        <v>21</v>
      </c>
      <c r="E278" s="6" t="s">
        <v>53</v>
      </c>
      <c r="F278" s="6" t="s">
        <v>54</v>
      </c>
      <c r="G278" s="6">
        <v>3.0</v>
      </c>
      <c r="H278" s="6">
        <v>270.01</v>
      </c>
      <c r="I278" s="6">
        <v>450.14</v>
      </c>
      <c r="J278" s="6">
        <v>24.33</v>
      </c>
      <c r="K278" s="6" t="s">
        <v>44</v>
      </c>
      <c r="L278" s="6" t="s">
        <v>25</v>
      </c>
      <c r="M278" s="6">
        <f t="shared" si="1"/>
        <v>810.03</v>
      </c>
      <c r="N278" s="6">
        <f t="shared" si="2"/>
        <v>1021.862814</v>
      </c>
      <c r="O278" s="6">
        <f t="shared" si="3"/>
        <v>211.832814</v>
      </c>
      <c r="P278" s="7">
        <f t="shared" si="4"/>
        <v>0.2073006387</v>
      </c>
      <c r="Q278" s="6" t="s">
        <v>49</v>
      </c>
      <c r="R278" s="8">
        <f t="shared" si="5"/>
        <v>328.557186</v>
      </c>
    </row>
    <row r="279" ht="14.25" customHeight="1">
      <c r="A279" s="6" t="s">
        <v>824</v>
      </c>
      <c r="B279" s="6" t="s">
        <v>825</v>
      </c>
      <c r="C279" s="6" t="s">
        <v>826</v>
      </c>
      <c r="D279" s="6" t="s">
        <v>64</v>
      </c>
      <c r="E279" s="6" t="s">
        <v>38</v>
      </c>
      <c r="F279" s="6" t="s">
        <v>39</v>
      </c>
      <c r="G279" s="6">
        <v>2.0</v>
      </c>
      <c r="H279" s="6">
        <v>173.03</v>
      </c>
      <c r="I279" s="6">
        <v>304.02</v>
      </c>
      <c r="J279" s="6">
        <v>13.23</v>
      </c>
      <c r="K279" s="6" t="s">
        <v>44</v>
      </c>
      <c r="L279" s="6" t="s">
        <v>61</v>
      </c>
      <c r="M279" s="6">
        <f t="shared" si="1"/>
        <v>346.06</v>
      </c>
      <c r="N279" s="6">
        <f t="shared" si="2"/>
        <v>527.596308</v>
      </c>
      <c r="O279" s="6">
        <f t="shared" si="3"/>
        <v>181.536308</v>
      </c>
      <c r="P279" s="7">
        <f t="shared" si="4"/>
        <v>0.3440818392</v>
      </c>
      <c r="Q279" s="6" t="s">
        <v>49</v>
      </c>
      <c r="R279" s="8">
        <f t="shared" si="5"/>
        <v>80.443692</v>
      </c>
    </row>
    <row r="280" ht="14.25" customHeight="1">
      <c r="A280" s="6" t="s">
        <v>827</v>
      </c>
      <c r="B280" s="6" t="s">
        <v>200</v>
      </c>
      <c r="C280" s="6" t="s">
        <v>828</v>
      </c>
      <c r="D280" s="6" t="s">
        <v>48</v>
      </c>
      <c r="E280" s="6" t="s">
        <v>22</v>
      </c>
      <c r="F280" s="6" t="s">
        <v>23</v>
      </c>
      <c r="G280" s="6">
        <v>6.0</v>
      </c>
      <c r="H280" s="6">
        <v>289.62</v>
      </c>
      <c r="I280" s="6">
        <v>475.45</v>
      </c>
      <c r="J280" s="6">
        <v>11.35</v>
      </c>
      <c r="K280" s="6" t="s">
        <v>44</v>
      </c>
      <c r="L280" s="6" t="s">
        <v>33</v>
      </c>
      <c r="M280" s="6">
        <f t="shared" si="1"/>
        <v>1737.72</v>
      </c>
      <c r="N280" s="6">
        <f t="shared" si="2"/>
        <v>2528.91855</v>
      </c>
      <c r="O280" s="6">
        <f t="shared" si="3"/>
        <v>791.19855</v>
      </c>
      <c r="P280" s="7">
        <f t="shared" si="4"/>
        <v>0.312860432</v>
      </c>
      <c r="Q280" s="6" t="s">
        <v>76</v>
      </c>
      <c r="R280" s="8">
        <f t="shared" si="5"/>
        <v>323.78145</v>
      </c>
    </row>
    <row r="281" ht="14.25" customHeight="1">
      <c r="A281" s="6" t="s">
        <v>829</v>
      </c>
      <c r="B281" s="6" t="s">
        <v>830</v>
      </c>
      <c r="C281" s="6" t="s">
        <v>831</v>
      </c>
      <c r="D281" s="6" t="s">
        <v>48</v>
      </c>
      <c r="E281" s="6" t="s">
        <v>22</v>
      </c>
      <c r="F281" s="6" t="s">
        <v>23</v>
      </c>
      <c r="G281" s="6">
        <v>7.0</v>
      </c>
      <c r="H281" s="6">
        <v>132.1</v>
      </c>
      <c r="I281" s="6">
        <v>178.73</v>
      </c>
      <c r="J281" s="6">
        <v>19.14</v>
      </c>
      <c r="K281" s="6" t="s">
        <v>24</v>
      </c>
      <c r="L281" s="6" t="s">
        <v>55</v>
      </c>
      <c r="M281" s="6">
        <f t="shared" si="1"/>
        <v>924.7</v>
      </c>
      <c r="N281" s="6">
        <f t="shared" si="2"/>
        <v>1011.647546</v>
      </c>
      <c r="O281" s="6">
        <f t="shared" si="3"/>
        <v>86.947546</v>
      </c>
      <c r="P281" s="7">
        <f t="shared" si="4"/>
        <v>0.08594648042</v>
      </c>
      <c r="Q281" s="6" t="s">
        <v>34</v>
      </c>
      <c r="R281" s="8">
        <f t="shared" si="5"/>
        <v>239.462454</v>
      </c>
    </row>
    <row r="282" ht="14.25" customHeight="1">
      <c r="A282" s="6" t="s">
        <v>832</v>
      </c>
      <c r="B282" s="6" t="s">
        <v>833</v>
      </c>
      <c r="C282" s="6" t="s">
        <v>831</v>
      </c>
      <c r="D282" s="6" t="s">
        <v>64</v>
      </c>
      <c r="E282" s="6" t="s">
        <v>104</v>
      </c>
      <c r="F282" s="6" t="s">
        <v>105</v>
      </c>
      <c r="G282" s="6">
        <v>1.0</v>
      </c>
      <c r="H282" s="6">
        <v>136.77</v>
      </c>
      <c r="I282" s="6">
        <v>258.28</v>
      </c>
      <c r="J282" s="6">
        <v>3.63</v>
      </c>
      <c r="K282" s="6" t="s">
        <v>24</v>
      </c>
      <c r="L282" s="6" t="s">
        <v>61</v>
      </c>
      <c r="M282" s="6">
        <f t="shared" si="1"/>
        <v>136.77</v>
      </c>
      <c r="N282" s="6">
        <f t="shared" si="2"/>
        <v>248.904436</v>
      </c>
      <c r="O282" s="6">
        <f t="shared" si="3"/>
        <v>112.134436</v>
      </c>
      <c r="P282" s="7">
        <f t="shared" si="4"/>
        <v>0.4505120029</v>
      </c>
      <c r="Q282" s="6" t="s">
        <v>76</v>
      </c>
      <c r="R282" s="8">
        <f t="shared" si="5"/>
        <v>9.375564</v>
      </c>
    </row>
    <row r="283" ht="14.25" customHeight="1">
      <c r="A283" s="6" t="s">
        <v>834</v>
      </c>
      <c r="B283" s="6" t="s">
        <v>835</v>
      </c>
      <c r="C283" s="6" t="s">
        <v>836</v>
      </c>
      <c r="D283" s="6" t="s">
        <v>83</v>
      </c>
      <c r="E283" s="6" t="s">
        <v>38</v>
      </c>
      <c r="F283" s="6" t="s">
        <v>71</v>
      </c>
      <c r="G283" s="6">
        <v>3.0</v>
      </c>
      <c r="H283" s="6">
        <v>128.79</v>
      </c>
      <c r="I283" s="6">
        <v>228.38</v>
      </c>
      <c r="J283" s="6">
        <v>19.21</v>
      </c>
      <c r="K283" s="6" t="s">
        <v>24</v>
      </c>
      <c r="L283" s="6" t="s">
        <v>33</v>
      </c>
      <c r="M283" s="6">
        <f t="shared" si="1"/>
        <v>386.37</v>
      </c>
      <c r="N283" s="6">
        <f t="shared" si="2"/>
        <v>553.524606</v>
      </c>
      <c r="O283" s="6">
        <f t="shared" si="3"/>
        <v>167.154606</v>
      </c>
      <c r="P283" s="7">
        <f t="shared" si="4"/>
        <v>0.3019822501</v>
      </c>
      <c r="Q283" s="6" t="s">
        <v>49</v>
      </c>
      <c r="R283" s="8">
        <f t="shared" si="5"/>
        <v>131.615394</v>
      </c>
    </row>
    <row r="284" ht="14.25" customHeight="1">
      <c r="A284" s="6" t="s">
        <v>837</v>
      </c>
      <c r="B284" s="6" t="s">
        <v>838</v>
      </c>
      <c r="C284" s="6" t="s">
        <v>839</v>
      </c>
      <c r="D284" s="6" t="s">
        <v>64</v>
      </c>
      <c r="E284" s="6" t="s">
        <v>59</v>
      </c>
      <c r="F284" s="6" t="s">
        <v>60</v>
      </c>
      <c r="G284" s="6">
        <v>4.0</v>
      </c>
      <c r="H284" s="6">
        <v>267.21</v>
      </c>
      <c r="I284" s="6">
        <v>437.64</v>
      </c>
      <c r="J284" s="6">
        <v>9.06</v>
      </c>
      <c r="K284" s="6" t="s">
        <v>24</v>
      </c>
      <c r="L284" s="6" t="s">
        <v>55</v>
      </c>
      <c r="M284" s="6">
        <f t="shared" si="1"/>
        <v>1068.84</v>
      </c>
      <c r="N284" s="6">
        <f t="shared" si="2"/>
        <v>1591.959264</v>
      </c>
      <c r="O284" s="6">
        <f t="shared" si="3"/>
        <v>523.119264</v>
      </c>
      <c r="P284" s="7">
        <f t="shared" si="4"/>
        <v>0.3286009107</v>
      </c>
      <c r="Q284" s="6" t="s">
        <v>26</v>
      </c>
      <c r="R284" s="8">
        <f t="shared" si="5"/>
        <v>158.600736</v>
      </c>
    </row>
    <row r="285" ht="14.25" customHeight="1">
      <c r="A285" s="6" t="s">
        <v>840</v>
      </c>
      <c r="B285" s="6" t="s">
        <v>841</v>
      </c>
      <c r="C285" s="6" t="s">
        <v>839</v>
      </c>
      <c r="D285" s="6" t="s">
        <v>83</v>
      </c>
      <c r="E285" s="6" t="s">
        <v>22</v>
      </c>
      <c r="F285" s="6" t="s">
        <v>23</v>
      </c>
      <c r="G285" s="6">
        <v>8.0</v>
      </c>
      <c r="H285" s="6">
        <v>122.75</v>
      </c>
      <c r="I285" s="6">
        <v>150.93</v>
      </c>
      <c r="J285" s="6">
        <v>15.99</v>
      </c>
      <c r="K285" s="6" t="s">
        <v>24</v>
      </c>
      <c r="L285" s="6" t="s">
        <v>25</v>
      </c>
      <c r="M285" s="6">
        <f t="shared" si="1"/>
        <v>982</v>
      </c>
      <c r="N285" s="6">
        <f t="shared" si="2"/>
        <v>1014.370344</v>
      </c>
      <c r="O285" s="6">
        <f t="shared" si="3"/>
        <v>32.370344</v>
      </c>
      <c r="P285" s="7">
        <f t="shared" si="4"/>
        <v>0.03191176102</v>
      </c>
      <c r="Q285" s="6" t="s">
        <v>34</v>
      </c>
      <c r="R285" s="8">
        <f t="shared" si="5"/>
        <v>193.069656</v>
      </c>
    </row>
    <row r="286" ht="14.25" customHeight="1">
      <c r="A286" s="6" t="s">
        <v>842</v>
      </c>
      <c r="B286" s="6" t="s">
        <v>843</v>
      </c>
      <c r="C286" s="6" t="s">
        <v>844</v>
      </c>
      <c r="D286" s="6" t="s">
        <v>30</v>
      </c>
      <c r="E286" s="6" t="s">
        <v>104</v>
      </c>
      <c r="F286" s="6" t="s">
        <v>105</v>
      </c>
      <c r="G286" s="6">
        <v>3.0</v>
      </c>
      <c r="H286" s="6">
        <v>226.08</v>
      </c>
      <c r="I286" s="6">
        <v>383.67</v>
      </c>
      <c r="J286" s="6">
        <v>8.26</v>
      </c>
      <c r="K286" s="6" t="s">
        <v>44</v>
      </c>
      <c r="L286" s="6" t="s">
        <v>55</v>
      </c>
      <c r="M286" s="6">
        <f t="shared" si="1"/>
        <v>678.24</v>
      </c>
      <c r="N286" s="6">
        <f t="shared" si="2"/>
        <v>1055.936574</v>
      </c>
      <c r="O286" s="6">
        <f t="shared" si="3"/>
        <v>377.696574</v>
      </c>
      <c r="P286" s="7">
        <f t="shared" si="4"/>
        <v>0.3576886939</v>
      </c>
      <c r="Q286" s="6" t="s">
        <v>26</v>
      </c>
      <c r="R286" s="8">
        <f t="shared" si="5"/>
        <v>95.073426</v>
      </c>
    </row>
    <row r="287" ht="14.25" customHeight="1">
      <c r="A287" s="6" t="s">
        <v>845</v>
      </c>
      <c r="B287" s="6" t="s">
        <v>846</v>
      </c>
      <c r="C287" s="6" t="s">
        <v>847</v>
      </c>
      <c r="D287" s="6" t="s">
        <v>64</v>
      </c>
      <c r="E287" s="6" t="s">
        <v>65</v>
      </c>
      <c r="F287" s="6" t="s">
        <v>75</v>
      </c>
      <c r="G287" s="6">
        <v>4.0</v>
      </c>
      <c r="H287" s="6">
        <v>299.36</v>
      </c>
      <c r="I287" s="6">
        <v>382.47</v>
      </c>
      <c r="J287" s="6">
        <v>18.82</v>
      </c>
      <c r="K287" s="6" t="s">
        <v>44</v>
      </c>
      <c r="L287" s="6" t="s">
        <v>61</v>
      </c>
      <c r="M287" s="6">
        <f t="shared" si="1"/>
        <v>1197.44</v>
      </c>
      <c r="N287" s="6">
        <f t="shared" si="2"/>
        <v>1241.956584</v>
      </c>
      <c r="O287" s="6">
        <f t="shared" si="3"/>
        <v>44.516584</v>
      </c>
      <c r="P287" s="7">
        <f t="shared" si="4"/>
        <v>0.0358439132</v>
      </c>
      <c r="Q287" s="6" t="s">
        <v>40</v>
      </c>
      <c r="R287" s="8">
        <f t="shared" si="5"/>
        <v>287.923416</v>
      </c>
    </row>
    <row r="288" ht="14.25" customHeight="1">
      <c r="A288" s="6" t="s">
        <v>848</v>
      </c>
      <c r="B288" s="6" t="s">
        <v>538</v>
      </c>
      <c r="C288" s="6" t="s">
        <v>849</v>
      </c>
      <c r="D288" s="6" t="s">
        <v>30</v>
      </c>
      <c r="E288" s="6" t="s">
        <v>87</v>
      </c>
      <c r="F288" s="6" t="s">
        <v>88</v>
      </c>
      <c r="G288" s="6">
        <v>4.0</v>
      </c>
      <c r="H288" s="6">
        <v>108.93</v>
      </c>
      <c r="I288" s="6">
        <v>185.44</v>
      </c>
      <c r="J288" s="6">
        <v>15.46</v>
      </c>
      <c r="K288" s="6" t="s">
        <v>44</v>
      </c>
      <c r="L288" s="6" t="s">
        <v>25</v>
      </c>
      <c r="M288" s="6">
        <f t="shared" si="1"/>
        <v>435.72</v>
      </c>
      <c r="N288" s="6">
        <f t="shared" si="2"/>
        <v>627.083904</v>
      </c>
      <c r="O288" s="6">
        <f t="shared" si="3"/>
        <v>191.363904</v>
      </c>
      <c r="P288" s="7">
        <f t="shared" si="4"/>
        <v>0.3051647519</v>
      </c>
      <c r="Q288" s="6" t="s">
        <v>34</v>
      </c>
      <c r="R288" s="8">
        <f t="shared" si="5"/>
        <v>114.676096</v>
      </c>
    </row>
    <row r="289" ht="14.25" customHeight="1">
      <c r="A289" s="6" t="s">
        <v>850</v>
      </c>
      <c r="B289" s="6" t="s">
        <v>851</v>
      </c>
      <c r="C289" s="6" t="s">
        <v>852</v>
      </c>
      <c r="D289" s="6" t="s">
        <v>70</v>
      </c>
      <c r="E289" s="6" t="s">
        <v>59</v>
      </c>
      <c r="F289" s="6" t="s">
        <v>60</v>
      </c>
      <c r="G289" s="6">
        <v>3.0</v>
      </c>
      <c r="H289" s="6">
        <v>274.27</v>
      </c>
      <c r="I289" s="6">
        <v>475.38</v>
      </c>
      <c r="J289" s="6">
        <v>7.38</v>
      </c>
      <c r="K289" s="6" t="s">
        <v>44</v>
      </c>
      <c r="L289" s="6" t="s">
        <v>33</v>
      </c>
      <c r="M289" s="6">
        <f t="shared" si="1"/>
        <v>822.81</v>
      </c>
      <c r="N289" s="6">
        <f t="shared" si="2"/>
        <v>1320.890868</v>
      </c>
      <c r="O289" s="6">
        <f t="shared" si="3"/>
        <v>498.080868</v>
      </c>
      <c r="P289" s="7">
        <f t="shared" si="4"/>
        <v>0.3770795</v>
      </c>
      <c r="Q289" s="6" t="s">
        <v>49</v>
      </c>
      <c r="R289" s="8">
        <f t="shared" si="5"/>
        <v>105.249132</v>
      </c>
    </row>
    <row r="290" ht="14.25" customHeight="1">
      <c r="A290" s="6" t="s">
        <v>853</v>
      </c>
      <c r="B290" s="6" t="s">
        <v>854</v>
      </c>
      <c r="C290" s="6" t="s">
        <v>855</v>
      </c>
      <c r="D290" s="6" t="s">
        <v>83</v>
      </c>
      <c r="E290" s="6" t="s">
        <v>31</v>
      </c>
      <c r="F290" s="6" t="s">
        <v>32</v>
      </c>
      <c r="G290" s="6">
        <v>4.0</v>
      </c>
      <c r="H290" s="6">
        <v>173.55</v>
      </c>
      <c r="I290" s="6">
        <v>285.87</v>
      </c>
      <c r="J290" s="6">
        <v>22.22</v>
      </c>
      <c r="K290" s="6" t="s">
        <v>24</v>
      </c>
      <c r="L290" s="6" t="s">
        <v>25</v>
      </c>
      <c r="M290" s="6">
        <f t="shared" si="1"/>
        <v>694.2</v>
      </c>
      <c r="N290" s="6">
        <f t="shared" si="2"/>
        <v>889.398744</v>
      </c>
      <c r="O290" s="6">
        <f t="shared" si="3"/>
        <v>195.198744</v>
      </c>
      <c r="P290" s="7">
        <f t="shared" si="4"/>
        <v>0.2194727003</v>
      </c>
      <c r="Q290" s="6" t="s">
        <v>76</v>
      </c>
      <c r="R290" s="8">
        <f t="shared" si="5"/>
        <v>254.081256</v>
      </c>
    </row>
    <row r="291" ht="14.25" customHeight="1">
      <c r="A291" s="6" t="s">
        <v>856</v>
      </c>
      <c r="B291" s="6" t="s">
        <v>857</v>
      </c>
      <c r="C291" s="6" t="s">
        <v>858</v>
      </c>
      <c r="D291" s="6" t="s">
        <v>70</v>
      </c>
      <c r="E291" s="6" t="s">
        <v>87</v>
      </c>
      <c r="F291" s="6" t="s">
        <v>88</v>
      </c>
      <c r="G291" s="6">
        <v>8.0</v>
      </c>
      <c r="H291" s="6">
        <v>236.16</v>
      </c>
      <c r="I291" s="6">
        <v>282.34</v>
      </c>
      <c r="J291" s="6">
        <v>23.41</v>
      </c>
      <c r="K291" s="6" t="s">
        <v>44</v>
      </c>
      <c r="L291" s="6" t="s">
        <v>25</v>
      </c>
      <c r="M291" s="6">
        <f t="shared" si="1"/>
        <v>1889.28</v>
      </c>
      <c r="N291" s="6">
        <f t="shared" si="2"/>
        <v>1729.953648</v>
      </c>
      <c r="O291" s="6">
        <f t="shared" si="3"/>
        <v>-159.326352</v>
      </c>
      <c r="P291" s="7">
        <f t="shared" si="4"/>
        <v>-0.09209862483</v>
      </c>
      <c r="Q291" s="6" t="s">
        <v>40</v>
      </c>
      <c r="R291" s="8">
        <f t="shared" si="5"/>
        <v>528.766352</v>
      </c>
    </row>
    <row r="292" ht="14.25" customHeight="1">
      <c r="A292" s="6" t="s">
        <v>859</v>
      </c>
      <c r="B292" s="6" t="s">
        <v>860</v>
      </c>
      <c r="C292" s="6" t="s">
        <v>861</v>
      </c>
      <c r="D292" s="6" t="s">
        <v>70</v>
      </c>
      <c r="E292" s="6" t="s">
        <v>22</v>
      </c>
      <c r="F292" s="6" t="s">
        <v>23</v>
      </c>
      <c r="G292" s="6">
        <v>8.0</v>
      </c>
      <c r="H292" s="6">
        <v>65.73</v>
      </c>
      <c r="I292" s="6">
        <v>127.27</v>
      </c>
      <c r="J292" s="6">
        <v>2.74</v>
      </c>
      <c r="K292" s="6" t="s">
        <v>24</v>
      </c>
      <c r="L292" s="6" t="s">
        <v>25</v>
      </c>
      <c r="M292" s="6">
        <f t="shared" si="1"/>
        <v>525.84</v>
      </c>
      <c r="N292" s="6">
        <f t="shared" si="2"/>
        <v>990.262416</v>
      </c>
      <c r="O292" s="6">
        <f t="shared" si="3"/>
        <v>464.422416</v>
      </c>
      <c r="P292" s="7">
        <f t="shared" si="4"/>
        <v>0.4689892381</v>
      </c>
      <c r="Q292" s="6" t="s">
        <v>34</v>
      </c>
      <c r="R292" s="8">
        <f t="shared" si="5"/>
        <v>27.897584</v>
      </c>
    </row>
    <row r="293" ht="14.25" customHeight="1">
      <c r="A293" s="6" t="s">
        <v>862</v>
      </c>
      <c r="B293" s="6" t="s">
        <v>863</v>
      </c>
      <c r="C293" s="6" t="s">
        <v>861</v>
      </c>
      <c r="D293" s="6" t="s">
        <v>48</v>
      </c>
      <c r="E293" s="6" t="s">
        <v>59</v>
      </c>
      <c r="F293" s="6" t="s">
        <v>60</v>
      </c>
      <c r="G293" s="6">
        <v>7.0</v>
      </c>
      <c r="H293" s="6">
        <v>171.63</v>
      </c>
      <c r="I293" s="6">
        <v>288.44</v>
      </c>
      <c r="J293" s="6">
        <v>4.6</v>
      </c>
      <c r="K293" s="6" t="s">
        <v>44</v>
      </c>
      <c r="L293" s="6" t="s">
        <v>25</v>
      </c>
      <c r="M293" s="6">
        <f t="shared" si="1"/>
        <v>1201.41</v>
      </c>
      <c r="N293" s="6">
        <f t="shared" si="2"/>
        <v>1926.20232</v>
      </c>
      <c r="O293" s="6">
        <f t="shared" si="3"/>
        <v>724.79232</v>
      </c>
      <c r="P293" s="7">
        <f t="shared" si="4"/>
        <v>0.376280473</v>
      </c>
      <c r="Q293" s="6" t="s">
        <v>26</v>
      </c>
      <c r="R293" s="8">
        <f t="shared" si="5"/>
        <v>92.87768</v>
      </c>
    </row>
    <row r="294" ht="14.25" customHeight="1">
      <c r="A294" s="6" t="s">
        <v>864</v>
      </c>
      <c r="B294" s="6" t="s">
        <v>603</v>
      </c>
      <c r="C294" s="6" t="s">
        <v>865</v>
      </c>
      <c r="D294" s="6" t="s">
        <v>30</v>
      </c>
      <c r="E294" s="6" t="s">
        <v>22</v>
      </c>
      <c r="F294" s="6" t="s">
        <v>23</v>
      </c>
      <c r="G294" s="6">
        <v>6.0</v>
      </c>
      <c r="H294" s="6">
        <v>164.86</v>
      </c>
      <c r="I294" s="6">
        <v>248.31</v>
      </c>
      <c r="J294" s="6">
        <v>21.69</v>
      </c>
      <c r="K294" s="6" t="s">
        <v>44</v>
      </c>
      <c r="L294" s="6" t="s">
        <v>61</v>
      </c>
      <c r="M294" s="6">
        <f t="shared" si="1"/>
        <v>989.16</v>
      </c>
      <c r="N294" s="6">
        <f t="shared" si="2"/>
        <v>1166.709366</v>
      </c>
      <c r="O294" s="6">
        <f t="shared" si="3"/>
        <v>177.549366</v>
      </c>
      <c r="P294" s="7">
        <f t="shared" si="4"/>
        <v>0.1521796012</v>
      </c>
      <c r="Q294" s="6" t="s">
        <v>40</v>
      </c>
      <c r="R294" s="8">
        <f t="shared" si="5"/>
        <v>323.150634</v>
      </c>
    </row>
    <row r="295" ht="14.25" customHeight="1">
      <c r="A295" s="6" t="s">
        <v>866</v>
      </c>
      <c r="B295" s="6" t="s">
        <v>867</v>
      </c>
      <c r="C295" s="6" t="s">
        <v>865</v>
      </c>
      <c r="D295" s="6" t="s">
        <v>70</v>
      </c>
      <c r="E295" s="6" t="s">
        <v>59</v>
      </c>
      <c r="F295" s="6" t="s">
        <v>60</v>
      </c>
      <c r="G295" s="6">
        <v>6.0</v>
      </c>
      <c r="H295" s="6">
        <v>365.54</v>
      </c>
      <c r="I295" s="6">
        <v>453.04</v>
      </c>
      <c r="J295" s="6">
        <v>20.51</v>
      </c>
      <c r="K295" s="6" t="s">
        <v>24</v>
      </c>
      <c r="L295" s="6" t="s">
        <v>25</v>
      </c>
      <c r="M295" s="6">
        <f t="shared" si="1"/>
        <v>2193.24</v>
      </c>
      <c r="N295" s="6">
        <f t="shared" si="2"/>
        <v>2160.728976</v>
      </c>
      <c r="O295" s="6">
        <f t="shared" si="3"/>
        <v>-32.511024</v>
      </c>
      <c r="P295" s="7">
        <f t="shared" si="4"/>
        <v>-0.01504632203</v>
      </c>
      <c r="Q295" s="6" t="s">
        <v>40</v>
      </c>
      <c r="R295" s="8">
        <f t="shared" si="5"/>
        <v>557.511024</v>
      </c>
    </row>
    <row r="296" ht="14.25" customHeight="1">
      <c r="A296" s="6" t="s">
        <v>868</v>
      </c>
      <c r="B296" s="6" t="s">
        <v>462</v>
      </c>
      <c r="C296" s="6" t="s">
        <v>869</v>
      </c>
      <c r="D296" s="6" t="s">
        <v>48</v>
      </c>
      <c r="E296" s="6" t="s">
        <v>38</v>
      </c>
      <c r="F296" s="6" t="s">
        <v>71</v>
      </c>
      <c r="G296" s="6">
        <v>4.0</v>
      </c>
      <c r="H296" s="6">
        <v>422.53</v>
      </c>
      <c r="I296" s="6">
        <v>539.89</v>
      </c>
      <c r="J296" s="6">
        <v>16.36</v>
      </c>
      <c r="K296" s="6" t="s">
        <v>24</v>
      </c>
      <c r="L296" s="6" t="s">
        <v>61</v>
      </c>
      <c r="M296" s="6">
        <f t="shared" si="1"/>
        <v>1690.12</v>
      </c>
      <c r="N296" s="6">
        <f t="shared" si="2"/>
        <v>1806.255984</v>
      </c>
      <c r="O296" s="6">
        <f t="shared" si="3"/>
        <v>116.135984</v>
      </c>
      <c r="P296" s="7">
        <f t="shared" si="4"/>
        <v>0.06429652554</v>
      </c>
      <c r="Q296" s="6" t="s">
        <v>76</v>
      </c>
      <c r="R296" s="8">
        <f t="shared" si="5"/>
        <v>353.304016</v>
      </c>
    </row>
    <row r="297" ht="14.25" customHeight="1">
      <c r="A297" s="6" t="s">
        <v>870</v>
      </c>
      <c r="B297" s="6" t="s">
        <v>871</v>
      </c>
      <c r="C297" s="6" t="s">
        <v>872</v>
      </c>
      <c r="D297" s="6" t="s">
        <v>30</v>
      </c>
      <c r="E297" s="6" t="s">
        <v>31</v>
      </c>
      <c r="F297" s="6" t="s">
        <v>32</v>
      </c>
      <c r="G297" s="6">
        <v>3.0</v>
      </c>
      <c r="H297" s="6">
        <v>150.84</v>
      </c>
      <c r="I297" s="6">
        <v>212.23</v>
      </c>
      <c r="J297" s="6">
        <v>23.79</v>
      </c>
      <c r="K297" s="6" t="s">
        <v>44</v>
      </c>
      <c r="L297" s="6" t="s">
        <v>25</v>
      </c>
      <c r="M297" s="6">
        <f t="shared" si="1"/>
        <v>452.52</v>
      </c>
      <c r="N297" s="6">
        <f t="shared" si="2"/>
        <v>485.221449</v>
      </c>
      <c r="O297" s="6">
        <f t="shared" si="3"/>
        <v>32.701449</v>
      </c>
      <c r="P297" s="7">
        <f t="shared" si="4"/>
        <v>0.06739489581</v>
      </c>
      <c r="Q297" s="6" t="s">
        <v>34</v>
      </c>
      <c r="R297" s="8">
        <f t="shared" si="5"/>
        <v>151.468551</v>
      </c>
    </row>
    <row r="298" ht="14.25" customHeight="1">
      <c r="A298" s="6" t="s">
        <v>873</v>
      </c>
      <c r="B298" s="6" t="s">
        <v>874</v>
      </c>
      <c r="C298" s="6" t="s">
        <v>875</v>
      </c>
      <c r="D298" s="6" t="s">
        <v>64</v>
      </c>
      <c r="E298" s="6" t="s">
        <v>53</v>
      </c>
      <c r="F298" s="6" t="s">
        <v>54</v>
      </c>
      <c r="G298" s="6">
        <v>7.0</v>
      </c>
      <c r="H298" s="6">
        <v>69.92</v>
      </c>
      <c r="I298" s="6">
        <v>118.67</v>
      </c>
      <c r="J298" s="6">
        <v>9.54</v>
      </c>
      <c r="K298" s="6" t="s">
        <v>24</v>
      </c>
      <c r="L298" s="6" t="s">
        <v>25</v>
      </c>
      <c r="M298" s="6">
        <f t="shared" si="1"/>
        <v>489.44</v>
      </c>
      <c r="N298" s="6">
        <f t="shared" si="2"/>
        <v>751.442174</v>
      </c>
      <c r="O298" s="6">
        <f t="shared" si="3"/>
        <v>262.002174</v>
      </c>
      <c r="P298" s="7">
        <f t="shared" si="4"/>
        <v>0.348665783</v>
      </c>
      <c r="Q298" s="6" t="s">
        <v>40</v>
      </c>
      <c r="R298" s="8">
        <f t="shared" si="5"/>
        <v>79.247826</v>
      </c>
    </row>
    <row r="299" ht="14.25" customHeight="1">
      <c r="A299" s="6" t="s">
        <v>876</v>
      </c>
      <c r="B299" s="6" t="s">
        <v>877</v>
      </c>
      <c r="C299" s="6" t="s">
        <v>878</v>
      </c>
      <c r="D299" s="6" t="s">
        <v>70</v>
      </c>
      <c r="E299" s="6" t="s">
        <v>38</v>
      </c>
      <c r="F299" s="6" t="s">
        <v>39</v>
      </c>
      <c r="G299" s="6">
        <v>2.0</v>
      </c>
      <c r="H299" s="6">
        <v>56.89</v>
      </c>
      <c r="I299" s="6">
        <v>91.74</v>
      </c>
      <c r="J299" s="6">
        <v>2.73</v>
      </c>
      <c r="K299" s="6" t="s">
        <v>44</v>
      </c>
      <c r="L299" s="6" t="s">
        <v>33</v>
      </c>
      <c r="M299" s="6">
        <f t="shared" si="1"/>
        <v>113.78</v>
      </c>
      <c r="N299" s="6">
        <f t="shared" si="2"/>
        <v>178.470996</v>
      </c>
      <c r="O299" s="6">
        <f t="shared" si="3"/>
        <v>64.690996</v>
      </c>
      <c r="P299" s="7">
        <f t="shared" si="4"/>
        <v>0.3624734408</v>
      </c>
      <c r="Q299" s="6" t="s">
        <v>26</v>
      </c>
      <c r="R299" s="8">
        <f t="shared" si="5"/>
        <v>5.009004</v>
      </c>
    </row>
    <row r="300" ht="14.25" customHeight="1">
      <c r="A300" s="6" t="s">
        <v>879</v>
      </c>
      <c r="B300" s="6" t="s">
        <v>446</v>
      </c>
      <c r="C300" s="6" t="s">
        <v>878</v>
      </c>
      <c r="D300" s="6" t="s">
        <v>64</v>
      </c>
      <c r="E300" s="6" t="s">
        <v>38</v>
      </c>
      <c r="F300" s="6" t="s">
        <v>39</v>
      </c>
      <c r="G300" s="6">
        <v>2.0</v>
      </c>
      <c r="H300" s="6">
        <v>75.71</v>
      </c>
      <c r="I300" s="6">
        <v>124.08</v>
      </c>
      <c r="J300" s="6">
        <v>24.55</v>
      </c>
      <c r="K300" s="6" t="s">
        <v>44</v>
      </c>
      <c r="L300" s="6" t="s">
        <v>61</v>
      </c>
      <c r="M300" s="6">
        <f t="shared" si="1"/>
        <v>151.42</v>
      </c>
      <c r="N300" s="6">
        <f t="shared" si="2"/>
        <v>187.23672</v>
      </c>
      <c r="O300" s="6">
        <f t="shared" si="3"/>
        <v>35.81672</v>
      </c>
      <c r="P300" s="7">
        <f t="shared" si="4"/>
        <v>0.19129111</v>
      </c>
      <c r="Q300" s="6" t="s">
        <v>49</v>
      </c>
      <c r="R300" s="8">
        <f t="shared" si="5"/>
        <v>60.92328</v>
      </c>
    </row>
    <row r="301" ht="14.25" customHeight="1">
      <c r="A301" s="6" t="s">
        <v>880</v>
      </c>
      <c r="B301" s="6" t="s">
        <v>771</v>
      </c>
      <c r="C301" s="6" t="s">
        <v>881</v>
      </c>
      <c r="D301" s="6" t="s">
        <v>48</v>
      </c>
      <c r="E301" s="6" t="s">
        <v>38</v>
      </c>
      <c r="F301" s="6" t="s">
        <v>39</v>
      </c>
      <c r="G301" s="6">
        <v>4.0</v>
      </c>
      <c r="H301" s="6">
        <v>264.61</v>
      </c>
      <c r="I301" s="6">
        <v>467.77</v>
      </c>
      <c r="J301" s="6">
        <v>17.41</v>
      </c>
      <c r="K301" s="6" t="s">
        <v>24</v>
      </c>
      <c r="L301" s="6" t="s">
        <v>33</v>
      </c>
      <c r="M301" s="6">
        <f t="shared" si="1"/>
        <v>1058.44</v>
      </c>
      <c r="N301" s="6">
        <f t="shared" si="2"/>
        <v>1545.324972</v>
      </c>
      <c r="O301" s="6">
        <f t="shared" si="3"/>
        <v>486.884972</v>
      </c>
      <c r="P301" s="7">
        <f t="shared" si="4"/>
        <v>0.3150696331</v>
      </c>
      <c r="Q301" s="6" t="s">
        <v>40</v>
      </c>
      <c r="R301" s="8">
        <f t="shared" si="5"/>
        <v>325.755028</v>
      </c>
    </row>
    <row r="302" ht="14.25" customHeight="1">
      <c r="A302" s="6" t="s">
        <v>882</v>
      </c>
      <c r="B302" s="6" t="s">
        <v>883</v>
      </c>
      <c r="C302" s="6" t="s">
        <v>884</v>
      </c>
      <c r="D302" s="6" t="s">
        <v>70</v>
      </c>
      <c r="E302" s="6" t="s">
        <v>65</v>
      </c>
      <c r="F302" s="6" t="s">
        <v>66</v>
      </c>
      <c r="G302" s="6">
        <v>2.0</v>
      </c>
      <c r="H302" s="6">
        <v>80.33</v>
      </c>
      <c r="I302" s="6">
        <v>136.87</v>
      </c>
      <c r="J302" s="6">
        <v>16.62</v>
      </c>
      <c r="K302" s="6" t="s">
        <v>44</v>
      </c>
      <c r="L302" s="6" t="s">
        <v>61</v>
      </c>
      <c r="M302" s="6">
        <f t="shared" si="1"/>
        <v>160.66</v>
      </c>
      <c r="N302" s="6">
        <f t="shared" si="2"/>
        <v>228.244412</v>
      </c>
      <c r="O302" s="6">
        <f t="shared" si="3"/>
        <v>67.584412</v>
      </c>
      <c r="P302" s="7">
        <f t="shared" si="4"/>
        <v>0.2961054398</v>
      </c>
      <c r="Q302" s="6" t="s">
        <v>40</v>
      </c>
      <c r="R302" s="8">
        <f t="shared" si="5"/>
        <v>45.495588</v>
      </c>
    </row>
    <row r="303" ht="14.25" customHeight="1">
      <c r="A303" s="6" t="s">
        <v>885</v>
      </c>
      <c r="B303" s="6" t="s">
        <v>886</v>
      </c>
      <c r="C303" s="6" t="s">
        <v>887</v>
      </c>
      <c r="D303" s="6" t="s">
        <v>83</v>
      </c>
      <c r="E303" s="6" t="s">
        <v>31</v>
      </c>
      <c r="F303" s="6" t="s">
        <v>32</v>
      </c>
      <c r="G303" s="6">
        <v>6.0</v>
      </c>
      <c r="H303" s="6">
        <v>272.43</v>
      </c>
      <c r="I303" s="6">
        <v>351.96</v>
      </c>
      <c r="J303" s="6">
        <v>18.02</v>
      </c>
      <c r="K303" s="6" t="s">
        <v>44</v>
      </c>
      <c r="L303" s="6" t="s">
        <v>55</v>
      </c>
      <c r="M303" s="6">
        <f t="shared" si="1"/>
        <v>1634.58</v>
      </c>
      <c r="N303" s="6">
        <f t="shared" si="2"/>
        <v>1731.220848</v>
      </c>
      <c r="O303" s="6">
        <f t="shared" si="3"/>
        <v>96.640848</v>
      </c>
      <c r="P303" s="7">
        <f t="shared" si="4"/>
        <v>0.05582236842</v>
      </c>
      <c r="Q303" s="6" t="s">
        <v>49</v>
      </c>
      <c r="R303" s="8">
        <f t="shared" si="5"/>
        <v>380.539152</v>
      </c>
    </row>
    <row r="304" ht="14.25" customHeight="1">
      <c r="A304" s="6" t="s">
        <v>888</v>
      </c>
      <c r="B304" s="6" t="s">
        <v>889</v>
      </c>
      <c r="C304" s="6" t="s">
        <v>890</v>
      </c>
      <c r="D304" s="6" t="s">
        <v>30</v>
      </c>
      <c r="E304" s="6" t="s">
        <v>53</v>
      </c>
      <c r="F304" s="6" t="s">
        <v>54</v>
      </c>
      <c r="G304" s="6">
        <v>6.0</v>
      </c>
      <c r="H304" s="6">
        <v>198.01</v>
      </c>
      <c r="I304" s="6">
        <v>274.46</v>
      </c>
      <c r="J304" s="6">
        <v>1.61</v>
      </c>
      <c r="K304" s="6" t="s">
        <v>24</v>
      </c>
      <c r="L304" s="6" t="s">
        <v>61</v>
      </c>
      <c r="M304" s="6">
        <f t="shared" si="1"/>
        <v>1188.06</v>
      </c>
      <c r="N304" s="6">
        <f t="shared" si="2"/>
        <v>1620.247164</v>
      </c>
      <c r="O304" s="6">
        <f t="shared" si="3"/>
        <v>432.187164</v>
      </c>
      <c r="P304" s="7">
        <f t="shared" si="4"/>
        <v>0.2667415032</v>
      </c>
      <c r="Q304" s="6" t="s">
        <v>40</v>
      </c>
      <c r="R304" s="8">
        <f t="shared" si="5"/>
        <v>26.512836</v>
      </c>
    </row>
    <row r="305" ht="14.25" customHeight="1">
      <c r="A305" s="6" t="s">
        <v>891</v>
      </c>
      <c r="B305" s="6" t="s">
        <v>731</v>
      </c>
      <c r="C305" s="6" t="s">
        <v>892</v>
      </c>
      <c r="D305" s="6" t="s">
        <v>30</v>
      </c>
      <c r="E305" s="6" t="s">
        <v>38</v>
      </c>
      <c r="F305" s="6" t="s">
        <v>71</v>
      </c>
      <c r="G305" s="6">
        <v>3.0</v>
      </c>
      <c r="H305" s="6">
        <v>232.77</v>
      </c>
      <c r="I305" s="6">
        <v>275.81</v>
      </c>
      <c r="J305" s="6">
        <v>16.99</v>
      </c>
      <c r="K305" s="6" t="s">
        <v>44</v>
      </c>
      <c r="L305" s="6" t="s">
        <v>55</v>
      </c>
      <c r="M305" s="6">
        <f t="shared" si="1"/>
        <v>698.31</v>
      </c>
      <c r="N305" s="6">
        <f t="shared" si="2"/>
        <v>686.849643</v>
      </c>
      <c r="O305" s="6">
        <f t="shared" si="3"/>
        <v>-11.460357</v>
      </c>
      <c r="P305" s="7">
        <f t="shared" si="4"/>
        <v>-0.01668539413</v>
      </c>
      <c r="Q305" s="6" t="s">
        <v>34</v>
      </c>
      <c r="R305" s="8">
        <f t="shared" si="5"/>
        <v>140.580357</v>
      </c>
    </row>
    <row r="306" ht="14.25" customHeight="1">
      <c r="A306" s="6" t="s">
        <v>893</v>
      </c>
      <c r="B306" s="6" t="s">
        <v>894</v>
      </c>
      <c r="C306" s="6" t="s">
        <v>895</v>
      </c>
      <c r="D306" s="6" t="s">
        <v>83</v>
      </c>
      <c r="E306" s="6" t="s">
        <v>87</v>
      </c>
      <c r="F306" s="6" t="s">
        <v>88</v>
      </c>
      <c r="G306" s="6">
        <v>6.0</v>
      </c>
      <c r="H306" s="6">
        <v>189.02</v>
      </c>
      <c r="I306" s="6">
        <v>259.15</v>
      </c>
      <c r="J306" s="6">
        <v>19.24</v>
      </c>
      <c r="K306" s="6" t="s">
        <v>24</v>
      </c>
      <c r="L306" s="6" t="s">
        <v>33</v>
      </c>
      <c r="M306" s="6">
        <f t="shared" si="1"/>
        <v>1134.12</v>
      </c>
      <c r="N306" s="6">
        <f t="shared" si="2"/>
        <v>1255.73724</v>
      </c>
      <c r="O306" s="6">
        <f t="shared" si="3"/>
        <v>121.61724</v>
      </c>
      <c r="P306" s="7">
        <f t="shared" si="4"/>
        <v>0.09684927398</v>
      </c>
      <c r="Q306" s="6" t="s">
        <v>34</v>
      </c>
      <c r="R306" s="8">
        <f t="shared" si="5"/>
        <v>299.16276</v>
      </c>
    </row>
    <row r="307" ht="14.25" customHeight="1">
      <c r="A307" s="6" t="s">
        <v>896</v>
      </c>
      <c r="B307" s="6" t="s">
        <v>897</v>
      </c>
      <c r="C307" s="6" t="s">
        <v>898</v>
      </c>
      <c r="D307" s="6" t="s">
        <v>21</v>
      </c>
      <c r="E307" s="6" t="s">
        <v>104</v>
      </c>
      <c r="F307" s="6" t="s">
        <v>105</v>
      </c>
      <c r="G307" s="6">
        <v>4.0</v>
      </c>
      <c r="H307" s="6">
        <v>248.66</v>
      </c>
      <c r="I307" s="6">
        <v>356.21</v>
      </c>
      <c r="J307" s="6">
        <v>19.81</v>
      </c>
      <c r="K307" s="6" t="s">
        <v>44</v>
      </c>
      <c r="L307" s="6" t="s">
        <v>61</v>
      </c>
      <c r="M307" s="6">
        <f t="shared" si="1"/>
        <v>994.64</v>
      </c>
      <c r="N307" s="6">
        <f t="shared" si="2"/>
        <v>1142.579196</v>
      </c>
      <c r="O307" s="6">
        <f t="shared" si="3"/>
        <v>147.939196</v>
      </c>
      <c r="P307" s="7">
        <f t="shared" si="4"/>
        <v>0.1294782861</v>
      </c>
      <c r="Q307" s="6" t="s">
        <v>26</v>
      </c>
      <c r="R307" s="8">
        <f t="shared" si="5"/>
        <v>282.260804</v>
      </c>
    </row>
    <row r="308" ht="14.25" customHeight="1">
      <c r="A308" s="6" t="s">
        <v>899</v>
      </c>
      <c r="B308" s="6" t="s">
        <v>900</v>
      </c>
      <c r="C308" s="6" t="s">
        <v>901</v>
      </c>
      <c r="D308" s="6" t="s">
        <v>30</v>
      </c>
      <c r="E308" s="6" t="s">
        <v>87</v>
      </c>
      <c r="F308" s="6" t="s">
        <v>88</v>
      </c>
      <c r="G308" s="6">
        <v>8.0</v>
      </c>
      <c r="H308" s="6">
        <v>120.38</v>
      </c>
      <c r="I308" s="6">
        <v>152.93</v>
      </c>
      <c r="J308" s="6">
        <v>21.04</v>
      </c>
      <c r="K308" s="6" t="s">
        <v>44</v>
      </c>
      <c r="L308" s="6" t="s">
        <v>33</v>
      </c>
      <c r="M308" s="6">
        <f t="shared" si="1"/>
        <v>963.04</v>
      </c>
      <c r="N308" s="6">
        <f t="shared" si="2"/>
        <v>966.028224</v>
      </c>
      <c r="O308" s="6">
        <f t="shared" si="3"/>
        <v>2.988224</v>
      </c>
      <c r="P308" s="7">
        <f t="shared" si="4"/>
        <v>0.003093309207</v>
      </c>
      <c r="Q308" s="6" t="s">
        <v>40</v>
      </c>
      <c r="R308" s="8">
        <f t="shared" si="5"/>
        <v>257.411776</v>
      </c>
    </row>
    <row r="309" ht="14.25" customHeight="1">
      <c r="A309" s="6" t="s">
        <v>902</v>
      </c>
      <c r="B309" s="6" t="s">
        <v>903</v>
      </c>
      <c r="C309" s="6" t="s">
        <v>904</v>
      </c>
      <c r="D309" s="6" t="s">
        <v>48</v>
      </c>
      <c r="E309" s="6" t="s">
        <v>104</v>
      </c>
      <c r="F309" s="6" t="s">
        <v>105</v>
      </c>
      <c r="G309" s="6">
        <v>1.0</v>
      </c>
      <c r="H309" s="6">
        <v>433.32</v>
      </c>
      <c r="I309" s="6">
        <v>550.42</v>
      </c>
      <c r="J309" s="6">
        <v>2.43</v>
      </c>
      <c r="K309" s="6" t="s">
        <v>44</v>
      </c>
      <c r="L309" s="6" t="s">
        <v>25</v>
      </c>
      <c r="M309" s="6">
        <f t="shared" si="1"/>
        <v>433.32</v>
      </c>
      <c r="N309" s="6">
        <f t="shared" si="2"/>
        <v>537.044794</v>
      </c>
      <c r="O309" s="6">
        <f t="shared" si="3"/>
        <v>103.724794</v>
      </c>
      <c r="P309" s="7">
        <f t="shared" si="4"/>
        <v>0.1931399301</v>
      </c>
      <c r="Q309" s="6" t="s">
        <v>49</v>
      </c>
      <c r="R309" s="8">
        <f t="shared" si="5"/>
        <v>13.375206</v>
      </c>
    </row>
    <row r="310" ht="14.25" customHeight="1">
      <c r="A310" s="6" t="s">
        <v>905</v>
      </c>
      <c r="B310" s="6" t="s">
        <v>906</v>
      </c>
      <c r="C310" s="6" t="s">
        <v>907</v>
      </c>
      <c r="D310" s="6" t="s">
        <v>83</v>
      </c>
      <c r="E310" s="6" t="s">
        <v>53</v>
      </c>
      <c r="F310" s="6" t="s">
        <v>54</v>
      </c>
      <c r="G310" s="6">
        <v>5.0</v>
      </c>
      <c r="H310" s="6">
        <v>261.39</v>
      </c>
      <c r="I310" s="6">
        <v>366.8</v>
      </c>
      <c r="J310" s="6">
        <v>22.41</v>
      </c>
      <c r="K310" s="6" t="s">
        <v>24</v>
      </c>
      <c r="L310" s="6" t="s">
        <v>33</v>
      </c>
      <c r="M310" s="6">
        <f t="shared" si="1"/>
        <v>1306.95</v>
      </c>
      <c r="N310" s="6">
        <f t="shared" si="2"/>
        <v>1423.0006</v>
      </c>
      <c r="O310" s="6">
        <f t="shared" si="3"/>
        <v>116.0506</v>
      </c>
      <c r="P310" s="7">
        <f t="shared" si="4"/>
        <v>0.08155344418</v>
      </c>
      <c r="Q310" s="6" t="s">
        <v>40</v>
      </c>
      <c r="R310" s="8">
        <f t="shared" si="5"/>
        <v>410.9994</v>
      </c>
    </row>
    <row r="311" ht="14.25" customHeight="1">
      <c r="A311" s="6" t="s">
        <v>908</v>
      </c>
      <c r="B311" s="6" t="s">
        <v>909</v>
      </c>
      <c r="C311" s="6" t="s">
        <v>910</v>
      </c>
      <c r="D311" s="6" t="s">
        <v>64</v>
      </c>
      <c r="E311" s="6" t="s">
        <v>87</v>
      </c>
      <c r="F311" s="6" t="s">
        <v>88</v>
      </c>
      <c r="G311" s="6">
        <v>6.0</v>
      </c>
      <c r="H311" s="6">
        <v>399.8</v>
      </c>
      <c r="I311" s="6">
        <v>599.02</v>
      </c>
      <c r="J311" s="6">
        <v>9.42</v>
      </c>
      <c r="K311" s="6" t="s">
        <v>24</v>
      </c>
      <c r="L311" s="6" t="s">
        <v>55</v>
      </c>
      <c r="M311" s="6">
        <f t="shared" si="1"/>
        <v>2398.8</v>
      </c>
      <c r="N311" s="6">
        <f t="shared" si="2"/>
        <v>3255.553896</v>
      </c>
      <c r="O311" s="6">
        <f t="shared" si="3"/>
        <v>856.753896</v>
      </c>
      <c r="P311" s="7">
        <f t="shared" si="4"/>
        <v>0.2631668599</v>
      </c>
      <c r="Q311" s="6" t="s">
        <v>40</v>
      </c>
      <c r="R311" s="8">
        <f t="shared" si="5"/>
        <v>338.566104</v>
      </c>
    </row>
    <row r="312" ht="14.25" customHeight="1">
      <c r="A312" s="6" t="s">
        <v>911</v>
      </c>
      <c r="B312" s="6" t="s">
        <v>583</v>
      </c>
      <c r="C312" s="6" t="s">
        <v>912</v>
      </c>
      <c r="D312" s="6" t="s">
        <v>48</v>
      </c>
      <c r="E312" s="6" t="s">
        <v>87</v>
      </c>
      <c r="F312" s="6" t="s">
        <v>88</v>
      </c>
      <c r="G312" s="6">
        <v>7.0</v>
      </c>
      <c r="H312" s="6">
        <v>269.38</v>
      </c>
      <c r="I312" s="6">
        <v>425.76</v>
      </c>
      <c r="J312" s="6">
        <v>18.7</v>
      </c>
      <c r="K312" s="6" t="s">
        <v>24</v>
      </c>
      <c r="L312" s="6" t="s">
        <v>61</v>
      </c>
      <c r="M312" s="6">
        <f t="shared" si="1"/>
        <v>1885.66</v>
      </c>
      <c r="N312" s="6">
        <f t="shared" si="2"/>
        <v>2423.00016</v>
      </c>
      <c r="O312" s="6">
        <f t="shared" si="3"/>
        <v>537.34016</v>
      </c>
      <c r="P312" s="7">
        <f t="shared" si="4"/>
        <v>0.2217664567</v>
      </c>
      <c r="Q312" s="6" t="s">
        <v>26</v>
      </c>
      <c r="R312" s="8">
        <f t="shared" si="5"/>
        <v>557.31984</v>
      </c>
    </row>
    <row r="313" ht="14.25" customHeight="1">
      <c r="A313" s="6" t="s">
        <v>913</v>
      </c>
      <c r="B313" s="6" t="s">
        <v>914</v>
      </c>
      <c r="C313" s="6" t="s">
        <v>915</v>
      </c>
      <c r="D313" s="6" t="s">
        <v>83</v>
      </c>
      <c r="E313" s="6" t="s">
        <v>65</v>
      </c>
      <c r="F313" s="6" t="s">
        <v>75</v>
      </c>
      <c r="G313" s="6">
        <v>5.0</v>
      </c>
      <c r="H313" s="6">
        <v>391.58</v>
      </c>
      <c r="I313" s="6">
        <v>522.71</v>
      </c>
      <c r="J313" s="6">
        <v>23.18</v>
      </c>
      <c r="K313" s="6" t="s">
        <v>44</v>
      </c>
      <c r="L313" s="6" t="s">
        <v>25</v>
      </c>
      <c r="M313" s="6">
        <f t="shared" si="1"/>
        <v>1957.9</v>
      </c>
      <c r="N313" s="6">
        <f t="shared" si="2"/>
        <v>2007.72911</v>
      </c>
      <c r="O313" s="6">
        <f t="shared" si="3"/>
        <v>49.82911</v>
      </c>
      <c r="P313" s="7">
        <f t="shared" si="4"/>
        <v>0.02481864199</v>
      </c>
      <c r="Q313" s="6" t="s">
        <v>76</v>
      </c>
      <c r="R313" s="8">
        <f t="shared" si="5"/>
        <v>605.82089</v>
      </c>
    </row>
    <row r="314" ht="14.25" customHeight="1">
      <c r="A314" s="6" t="s">
        <v>916</v>
      </c>
      <c r="B314" s="6" t="s">
        <v>917</v>
      </c>
      <c r="C314" s="6" t="s">
        <v>918</v>
      </c>
      <c r="D314" s="6" t="s">
        <v>83</v>
      </c>
      <c r="E314" s="6" t="s">
        <v>38</v>
      </c>
      <c r="F314" s="6" t="s">
        <v>39</v>
      </c>
      <c r="G314" s="6">
        <v>6.0</v>
      </c>
      <c r="H314" s="6">
        <v>286.27</v>
      </c>
      <c r="I314" s="6">
        <v>490.79</v>
      </c>
      <c r="J314" s="6">
        <v>8.09</v>
      </c>
      <c r="K314" s="6" t="s">
        <v>44</v>
      </c>
      <c r="L314" s="6" t="s">
        <v>33</v>
      </c>
      <c r="M314" s="6">
        <f t="shared" si="1"/>
        <v>1717.62</v>
      </c>
      <c r="N314" s="6">
        <f t="shared" si="2"/>
        <v>2706.510534</v>
      </c>
      <c r="O314" s="6">
        <f t="shared" si="3"/>
        <v>988.890534</v>
      </c>
      <c r="P314" s="7">
        <f t="shared" si="4"/>
        <v>0.365374722</v>
      </c>
      <c r="Q314" s="6" t="s">
        <v>34</v>
      </c>
      <c r="R314" s="8">
        <f t="shared" si="5"/>
        <v>238.229466</v>
      </c>
    </row>
    <row r="315" ht="14.25" customHeight="1">
      <c r="A315" s="6" t="s">
        <v>919</v>
      </c>
      <c r="B315" s="6" t="s">
        <v>920</v>
      </c>
      <c r="C315" s="6" t="s">
        <v>921</v>
      </c>
      <c r="D315" s="6" t="s">
        <v>48</v>
      </c>
      <c r="E315" s="6" t="s">
        <v>38</v>
      </c>
      <c r="F315" s="6" t="s">
        <v>39</v>
      </c>
      <c r="G315" s="6">
        <v>1.0</v>
      </c>
      <c r="H315" s="6">
        <v>157.62</v>
      </c>
      <c r="I315" s="6">
        <v>266.57</v>
      </c>
      <c r="J315" s="6">
        <v>16.92</v>
      </c>
      <c r="K315" s="6" t="s">
        <v>44</v>
      </c>
      <c r="L315" s="6" t="s">
        <v>25</v>
      </c>
      <c r="M315" s="6">
        <f t="shared" si="1"/>
        <v>157.62</v>
      </c>
      <c r="N315" s="6">
        <f t="shared" si="2"/>
        <v>221.466356</v>
      </c>
      <c r="O315" s="6">
        <f t="shared" si="3"/>
        <v>63.846356</v>
      </c>
      <c r="P315" s="7">
        <f t="shared" si="4"/>
        <v>0.2882891883</v>
      </c>
      <c r="Q315" s="6" t="s">
        <v>40</v>
      </c>
      <c r="R315" s="8">
        <f t="shared" si="5"/>
        <v>45.103644</v>
      </c>
    </row>
    <row r="316" ht="14.25" customHeight="1">
      <c r="A316" s="6" t="s">
        <v>922</v>
      </c>
      <c r="B316" s="6" t="s">
        <v>272</v>
      </c>
      <c r="C316" s="6" t="s">
        <v>923</v>
      </c>
      <c r="D316" s="6" t="s">
        <v>70</v>
      </c>
      <c r="E316" s="6" t="s">
        <v>22</v>
      </c>
      <c r="F316" s="6" t="s">
        <v>23</v>
      </c>
      <c r="G316" s="6">
        <v>4.0</v>
      </c>
      <c r="H316" s="6">
        <v>175.94</v>
      </c>
      <c r="I316" s="6">
        <v>295.05</v>
      </c>
      <c r="J316" s="6">
        <v>13.92</v>
      </c>
      <c r="K316" s="6" t="s">
        <v>24</v>
      </c>
      <c r="L316" s="6" t="s">
        <v>61</v>
      </c>
      <c r="M316" s="6">
        <f t="shared" si="1"/>
        <v>703.76</v>
      </c>
      <c r="N316" s="6">
        <f t="shared" si="2"/>
        <v>1015.91616</v>
      </c>
      <c r="O316" s="6">
        <f t="shared" si="3"/>
        <v>312.15616</v>
      </c>
      <c r="P316" s="7">
        <f t="shared" si="4"/>
        <v>0.3072656704</v>
      </c>
      <c r="Q316" s="6" t="s">
        <v>49</v>
      </c>
      <c r="R316" s="8">
        <f t="shared" si="5"/>
        <v>164.28384</v>
      </c>
    </row>
    <row r="317" ht="14.25" customHeight="1">
      <c r="A317" s="6" t="s">
        <v>924</v>
      </c>
      <c r="B317" s="6" t="s">
        <v>701</v>
      </c>
      <c r="C317" s="6" t="s">
        <v>925</v>
      </c>
      <c r="D317" s="6" t="s">
        <v>70</v>
      </c>
      <c r="E317" s="6" t="s">
        <v>22</v>
      </c>
      <c r="F317" s="6" t="s">
        <v>23</v>
      </c>
      <c r="G317" s="6">
        <v>5.0</v>
      </c>
      <c r="H317" s="6">
        <v>319.13</v>
      </c>
      <c r="I317" s="6">
        <v>450.04</v>
      </c>
      <c r="J317" s="6">
        <v>23.64</v>
      </c>
      <c r="K317" s="6" t="s">
        <v>24</v>
      </c>
      <c r="L317" s="6" t="s">
        <v>61</v>
      </c>
      <c r="M317" s="6">
        <f t="shared" si="1"/>
        <v>1595.65</v>
      </c>
      <c r="N317" s="6">
        <f t="shared" si="2"/>
        <v>1718.25272</v>
      </c>
      <c r="O317" s="6">
        <f t="shared" si="3"/>
        <v>122.60272</v>
      </c>
      <c r="P317" s="7">
        <f t="shared" si="4"/>
        <v>0.07135313599</v>
      </c>
      <c r="Q317" s="6" t="s">
        <v>49</v>
      </c>
      <c r="R317" s="8">
        <f t="shared" si="5"/>
        <v>531.94728</v>
      </c>
    </row>
    <row r="318" ht="14.25" customHeight="1">
      <c r="A318" s="6" t="s">
        <v>926</v>
      </c>
      <c r="B318" s="6" t="s">
        <v>251</v>
      </c>
      <c r="C318" s="6" t="s">
        <v>927</v>
      </c>
      <c r="D318" s="6" t="s">
        <v>30</v>
      </c>
      <c r="E318" s="6" t="s">
        <v>38</v>
      </c>
      <c r="F318" s="6" t="s">
        <v>71</v>
      </c>
      <c r="G318" s="6">
        <v>7.0</v>
      </c>
      <c r="H318" s="6">
        <v>100.22</v>
      </c>
      <c r="I318" s="6">
        <v>140.31</v>
      </c>
      <c r="J318" s="6">
        <v>1.38</v>
      </c>
      <c r="K318" s="6" t="s">
        <v>44</v>
      </c>
      <c r="L318" s="6" t="s">
        <v>33</v>
      </c>
      <c r="M318" s="6">
        <f t="shared" si="1"/>
        <v>701.54</v>
      </c>
      <c r="N318" s="6">
        <f t="shared" si="2"/>
        <v>968.616054</v>
      </c>
      <c r="O318" s="6">
        <f t="shared" si="3"/>
        <v>267.076054</v>
      </c>
      <c r="P318" s="7">
        <f t="shared" si="4"/>
        <v>0.2757295348</v>
      </c>
      <c r="Q318" s="6" t="s">
        <v>49</v>
      </c>
      <c r="R318" s="8">
        <f t="shared" si="5"/>
        <v>13.553946</v>
      </c>
    </row>
    <row r="319" ht="14.25" customHeight="1">
      <c r="A319" s="6" t="s">
        <v>928</v>
      </c>
      <c r="B319" s="6" t="s">
        <v>929</v>
      </c>
      <c r="C319" s="6" t="s">
        <v>930</v>
      </c>
      <c r="D319" s="6" t="s">
        <v>70</v>
      </c>
      <c r="E319" s="6" t="s">
        <v>31</v>
      </c>
      <c r="F319" s="6" t="s">
        <v>32</v>
      </c>
      <c r="G319" s="6">
        <v>8.0</v>
      </c>
      <c r="H319" s="6">
        <v>161.77</v>
      </c>
      <c r="I319" s="6">
        <v>266.55</v>
      </c>
      <c r="J319" s="6">
        <v>13.79</v>
      </c>
      <c r="K319" s="6" t="s">
        <v>44</v>
      </c>
      <c r="L319" s="6" t="s">
        <v>55</v>
      </c>
      <c r="M319" s="6">
        <f t="shared" si="1"/>
        <v>1294.16</v>
      </c>
      <c r="N319" s="6">
        <f t="shared" si="2"/>
        <v>1838.34204</v>
      </c>
      <c r="O319" s="6">
        <f t="shared" si="3"/>
        <v>544.18204</v>
      </c>
      <c r="P319" s="7">
        <f t="shared" si="4"/>
        <v>0.2960178401</v>
      </c>
      <c r="Q319" s="6" t="s">
        <v>76</v>
      </c>
      <c r="R319" s="8">
        <f t="shared" si="5"/>
        <v>294.05796</v>
      </c>
    </row>
    <row r="320" ht="14.25" customHeight="1">
      <c r="A320" s="6" t="s">
        <v>931</v>
      </c>
      <c r="B320" s="6" t="s">
        <v>408</v>
      </c>
      <c r="C320" s="6" t="s">
        <v>932</v>
      </c>
      <c r="D320" s="6" t="s">
        <v>21</v>
      </c>
      <c r="E320" s="6" t="s">
        <v>31</v>
      </c>
      <c r="F320" s="6" t="s">
        <v>32</v>
      </c>
      <c r="G320" s="6">
        <v>2.0</v>
      </c>
      <c r="H320" s="6">
        <v>223.28</v>
      </c>
      <c r="I320" s="6">
        <v>337.9</v>
      </c>
      <c r="J320" s="6">
        <v>20.39</v>
      </c>
      <c r="K320" s="6" t="s">
        <v>24</v>
      </c>
      <c r="L320" s="6" t="s">
        <v>33</v>
      </c>
      <c r="M320" s="6">
        <f t="shared" si="1"/>
        <v>446.56</v>
      </c>
      <c r="N320" s="6">
        <f t="shared" si="2"/>
        <v>538.00438</v>
      </c>
      <c r="O320" s="6">
        <f t="shared" si="3"/>
        <v>91.44438</v>
      </c>
      <c r="P320" s="7">
        <f t="shared" si="4"/>
        <v>0.1699695828</v>
      </c>
      <c r="Q320" s="6" t="s">
        <v>40</v>
      </c>
      <c r="R320" s="8">
        <f t="shared" si="5"/>
        <v>137.79562</v>
      </c>
    </row>
    <row r="321" ht="14.25" customHeight="1">
      <c r="A321" s="6" t="s">
        <v>933</v>
      </c>
      <c r="B321" s="6" t="s">
        <v>462</v>
      </c>
      <c r="C321" s="6" t="s">
        <v>934</v>
      </c>
      <c r="D321" s="6" t="s">
        <v>48</v>
      </c>
      <c r="E321" s="6" t="s">
        <v>59</v>
      </c>
      <c r="F321" s="6" t="s">
        <v>60</v>
      </c>
      <c r="G321" s="6">
        <v>8.0</v>
      </c>
      <c r="H321" s="6">
        <v>182.1</v>
      </c>
      <c r="I321" s="6">
        <v>241.96</v>
      </c>
      <c r="J321" s="6">
        <v>6.12</v>
      </c>
      <c r="K321" s="6" t="s">
        <v>44</v>
      </c>
      <c r="L321" s="6" t="s">
        <v>55</v>
      </c>
      <c r="M321" s="6">
        <f t="shared" si="1"/>
        <v>1456.8</v>
      </c>
      <c r="N321" s="6">
        <f t="shared" si="2"/>
        <v>1817.216384</v>
      </c>
      <c r="O321" s="6">
        <f t="shared" si="3"/>
        <v>360.416384</v>
      </c>
      <c r="P321" s="7">
        <f t="shared" si="4"/>
        <v>0.1983343245</v>
      </c>
      <c r="Q321" s="6" t="s">
        <v>40</v>
      </c>
      <c r="R321" s="8">
        <f t="shared" si="5"/>
        <v>118.463616</v>
      </c>
    </row>
    <row r="322" ht="14.25" customHeight="1">
      <c r="A322" s="6" t="s">
        <v>935</v>
      </c>
      <c r="B322" s="6" t="s">
        <v>936</v>
      </c>
      <c r="C322" s="6" t="s">
        <v>937</v>
      </c>
      <c r="D322" s="6" t="s">
        <v>64</v>
      </c>
      <c r="E322" s="6" t="s">
        <v>59</v>
      </c>
      <c r="F322" s="6" t="s">
        <v>60</v>
      </c>
      <c r="G322" s="6">
        <v>3.0</v>
      </c>
      <c r="H322" s="6">
        <v>327.22</v>
      </c>
      <c r="I322" s="6">
        <v>561.4</v>
      </c>
      <c r="J322" s="6">
        <v>4.06</v>
      </c>
      <c r="K322" s="6" t="s">
        <v>44</v>
      </c>
      <c r="L322" s="6" t="s">
        <v>33</v>
      </c>
      <c r="M322" s="6">
        <f t="shared" si="1"/>
        <v>981.66</v>
      </c>
      <c r="N322" s="6">
        <f t="shared" si="2"/>
        <v>1615.82148</v>
      </c>
      <c r="O322" s="6">
        <f t="shared" si="3"/>
        <v>634.16148</v>
      </c>
      <c r="P322" s="7">
        <f t="shared" si="4"/>
        <v>0.3924700147</v>
      </c>
      <c r="Q322" s="6" t="s">
        <v>40</v>
      </c>
      <c r="R322" s="8">
        <f t="shared" si="5"/>
        <v>68.37852</v>
      </c>
    </row>
    <row r="323" ht="14.25" customHeight="1">
      <c r="A323" s="6" t="s">
        <v>938</v>
      </c>
      <c r="B323" s="6" t="s">
        <v>939</v>
      </c>
      <c r="C323" s="6" t="s">
        <v>940</v>
      </c>
      <c r="D323" s="6" t="s">
        <v>64</v>
      </c>
      <c r="E323" s="6" t="s">
        <v>104</v>
      </c>
      <c r="F323" s="6" t="s">
        <v>105</v>
      </c>
      <c r="G323" s="6">
        <v>3.0</v>
      </c>
      <c r="H323" s="6">
        <v>306.6</v>
      </c>
      <c r="I323" s="6">
        <v>429.49</v>
      </c>
      <c r="J323" s="6">
        <v>17.29</v>
      </c>
      <c r="K323" s="6" t="s">
        <v>24</v>
      </c>
      <c r="L323" s="6" t="s">
        <v>25</v>
      </c>
      <c r="M323" s="6">
        <f t="shared" si="1"/>
        <v>919.8</v>
      </c>
      <c r="N323" s="6">
        <f t="shared" si="2"/>
        <v>1065.693537</v>
      </c>
      <c r="O323" s="6">
        <f t="shared" si="3"/>
        <v>145.893537</v>
      </c>
      <c r="P323" s="7">
        <f t="shared" si="4"/>
        <v>0.1369000861</v>
      </c>
      <c r="Q323" s="6" t="s">
        <v>49</v>
      </c>
      <c r="R323" s="8">
        <f t="shared" si="5"/>
        <v>222.776463</v>
      </c>
    </row>
    <row r="324" ht="14.25" customHeight="1">
      <c r="A324" s="6" t="s">
        <v>941</v>
      </c>
      <c r="B324" s="6" t="s">
        <v>942</v>
      </c>
      <c r="C324" s="6" t="s">
        <v>943</v>
      </c>
      <c r="D324" s="6" t="s">
        <v>30</v>
      </c>
      <c r="E324" s="6" t="s">
        <v>53</v>
      </c>
      <c r="F324" s="6" t="s">
        <v>54</v>
      </c>
      <c r="G324" s="6">
        <v>8.0</v>
      </c>
      <c r="H324" s="6">
        <v>250.1</v>
      </c>
      <c r="I324" s="6">
        <v>412.28</v>
      </c>
      <c r="J324" s="6">
        <v>4.29</v>
      </c>
      <c r="K324" s="6" t="s">
        <v>24</v>
      </c>
      <c r="L324" s="6" t="s">
        <v>25</v>
      </c>
      <c r="M324" s="6">
        <f t="shared" si="1"/>
        <v>2000.8</v>
      </c>
      <c r="N324" s="6">
        <f t="shared" si="2"/>
        <v>3156.745504</v>
      </c>
      <c r="O324" s="6">
        <f t="shared" si="3"/>
        <v>1155.945504</v>
      </c>
      <c r="P324" s="7">
        <f t="shared" si="4"/>
        <v>0.3661826722</v>
      </c>
      <c r="Q324" s="6" t="s">
        <v>76</v>
      </c>
      <c r="R324" s="8">
        <f t="shared" si="5"/>
        <v>141.494496</v>
      </c>
    </row>
    <row r="325" ht="14.25" customHeight="1">
      <c r="A325" s="6" t="s">
        <v>944</v>
      </c>
      <c r="B325" s="6" t="s">
        <v>164</v>
      </c>
      <c r="C325" s="6" t="s">
        <v>945</v>
      </c>
      <c r="D325" s="6" t="s">
        <v>48</v>
      </c>
      <c r="E325" s="6" t="s">
        <v>53</v>
      </c>
      <c r="F325" s="6" t="s">
        <v>54</v>
      </c>
      <c r="G325" s="6">
        <v>5.0</v>
      </c>
      <c r="H325" s="6">
        <v>359.43</v>
      </c>
      <c r="I325" s="6">
        <v>437.04</v>
      </c>
      <c r="J325" s="6">
        <v>3.32</v>
      </c>
      <c r="K325" s="6" t="s">
        <v>24</v>
      </c>
      <c r="L325" s="6" t="s">
        <v>25</v>
      </c>
      <c r="M325" s="6">
        <f t="shared" si="1"/>
        <v>1797.15</v>
      </c>
      <c r="N325" s="6">
        <f t="shared" si="2"/>
        <v>2112.65136</v>
      </c>
      <c r="O325" s="6">
        <f t="shared" si="3"/>
        <v>315.50136</v>
      </c>
      <c r="P325" s="7">
        <f t="shared" si="4"/>
        <v>0.1493390561</v>
      </c>
      <c r="Q325" s="6" t="s">
        <v>40</v>
      </c>
      <c r="R325" s="8">
        <f t="shared" si="5"/>
        <v>72.54864</v>
      </c>
    </row>
    <row r="326" ht="14.25" customHeight="1">
      <c r="A326" s="6" t="s">
        <v>946</v>
      </c>
      <c r="B326" s="6" t="s">
        <v>947</v>
      </c>
      <c r="C326" s="6" t="s">
        <v>948</v>
      </c>
      <c r="D326" s="6" t="s">
        <v>48</v>
      </c>
      <c r="E326" s="6" t="s">
        <v>22</v>
      </c>
      <c r="F326" s="6" t="s">
        <v>23</v>
      </c>
      <c r="G326" s="6">
        <v>6.0</v>
      </c>
      <c r="H326" s="6">
        <v>307.15</v>
      </c>
      <c r="I326" s="6">
        <v>568.4</v>
      </c>
      <c r="J326" s="6">
        <v>24.26</v>
      </c>
      <c r="K326" s="6" t="s">
        <v>24</v>
      </c>
      <c r="L326" s="6" t="s">
        <v>25</v>
      </c>
      <c r="M326" s="6">
        <f t="shared" si="1"/>
        <v>1842.9</v>
      </c>
      <c r="N326" s="6">
        <f t="shared" si="2"/>
        <v>2583.03696</v>
      </c>
      <c r="O326" s="6">
        <f t="shared" si="3"/>
        <v>740.13696</v>
      </c>
      <c r="P326" s="7">
        <f t="shared" si="4"/>
        <v>0.2865375027</v>
      </c>
      <c r="Q326" s="6" t="s">
        <v>49</v>
      </c>
      <c r="R326" s="8">
        <f t="shared" si="5"/>
        <v>827.36304</v>
      </c>
    </row>
    <row r="327" ht="14.25" customHeight="1">
      <c r="A327" s="6" t="s">
        <v>949</v>
      </c>
      <c r="B327" s="6" t="s">
        <v>182</v>
      </c>
      <c r="C327" s="6" t="s">
        <v>950</v>
      </c>
      <c r="D327" s="6" t="s">
        <v>30</v>
      </c>
      <c r="E327" s="6" t="s">
        <v>65</v>
      </c>
      <c r="F327" s="6" t="s">
        <v>75</v>
      </c>
      <c r="G327" s="6">
        <v>5.0</v>
      </c>
      <c r="H327" s="6">
        <v>384.45</v>
      </c>
      <c r="I327" s="6">
        <v>459.68</v>
      </c>
      <c r="J327" s="6">
        <v>7.22</v>
      </c>
      <c r="K327" s="6" t="s">
        <v>44</v>
      </c>
      <c r="L327" s="6" t="s">
        <v>33</v>
      </c>
      <c r="M327" s="6">
        <f t="shared" si="1"/>
        <v>1922.25</v>
      </c>
      <c r="N327" s="6">
        <f t="shared" si="2"/>
        <v>2132.45552</v>
      </c>
      <c r="O327" s="6">
        <f t="shared" si="3"/>
        <v>210.20552</v>
      </c>
      <c r="P327" s="7">
        <f t="shared" si="4"/>
        <v>0.0985743984</v>
      </c>
      <c r="Q327" s="6" t="s">
        <v>49</v>
      </c>
      <c r="R327" s="8">
        <f t="shared" si="5"/>
        <v>165.94448</v>
      </c>
    </row>
    <row r="328" ht="14.25" customHeight="1">
      <c r="A328" s="6" t="s">
        <v>951</v>
      </c>
      <c r="B328" s="6" t="s">
        <v>952</v>
      </c>
      <c r="C328" s="6" t="s">
        <v>953</v>
      </c>
      <c r="D328" s="6" t="s">
        <v>21</v>
      </c>
      <c r="E328" s="6" t="s">
        <v>104</v>
      </c>
      <c r="F328" s="6" t="s">
        <v>105</v>
      </c>
      <c r="G328" s="6">
        <v>1.0</v>
      </c>
      <c r="H328" s="6">
        <v>139.31</v>
      </c>
      <c r="I328" s="6">
        <v>218.58</v>
      </c>
      <c r="J328" s="6">
        <v>13.58</v>
      </c>
      <c r="K328" s="6" t="s">
        <v>24</v>
      </c>
      <c r="L328" s="6" t="s">
        <v>61</v>
      </c>
      <c r="M328" s="6">
        <f t="shared" si="1"/>
        <v>139.31</v>
      </c>
      <c r="N328" s="6">
        <f t="shared" si="2"/>
        <v>188.896836</v>
      </c>
      <c r="O328" s="6">
        <f t="shared" si="3"/>
        <v>49.586836</v>
      </c>
      <c r="P328" s="7">
        <f t="shared" si="4"/>
        <v>0.2625074991</v>
      </c>
      <c r="Q328" s="6" t="s">
        <v>49</v>
      </c>
      <c r="R328" s="8">
        <f t="shared" si="5"/>
        <v>29.683164</v>
      </c>
    </row>
    <row r="329" ht="14.25" customHeight="1">
      <c r="A329" s="6" t="s">
        <v>954</v>
      </c>
      <c r="B329" s="6" t="s">
        <v>662</v>
      </c>
      <c r="C329" s="6" t="s">
        <v>955</v>
      </c>
      <c r="D329" s="6" t="s">
        <v>48</v>
      </c>
      <c r="E329" s="6" t="s">
        <v>87</v>
      </c>
      <c r="F329" s="6" t="s">
        <v>88</v>
      </c>
      <c r="G329" s="6">
        <v>7.0</v>
      </c>
      <c r="H329" s="6">
        <v>305.36</v>
      </c>
      <c r="I329" s="6">
        <v>392.44</v>
      </c>
      <c r="J329" s="6">
        <v>20.51</v>
      </c>
      <c r="K329" s="6" t="s">
        <v>24</v>
      </c>
      <c r="L329" s="6" t="s">
        <v>33</v>
      </c>
      <c r="M329" s="6">
        <f t="shared" si="1"/>
        <v>2137.52</v>
      </c>
      <c r="N329" s="6">
        <f t="shared" si="2"/>
        <v>2183.653892</v>
      </c>
      <c r="O329" s="6">
        <f t="shared" si="3"/>
        <v>46.133892</v>
      </c>
      <c r="P329" s="7">
        <f t="shared" si="4"/>
        <v>0.021126925</v>
      </c>
      <c r="Q329" s="6" t="s">
        <v>40</v>
      </c>
      <c r="R329" s="8">
        <f t="shared" si="5"/>
        <v>563.426108</v>
      </c>
    </row>
    <row r="330" ht="14.25" customHeight="1">
      <c r="A330" s="6" t="s">
        <v>956</v>
      </c>
      <c r="B330" s="6" t="s">
        <v>245</v>
      </c>
      <c r="C330" s="6" t="s">
        <v>957</v>
      </c>
      <c r="D330" s="6" t="s">
        <v>21</v>
      </c>
      <c r="E330" s="6" t="s">
        <v>22</v>
      </c>
      <c r="F330" s="6" t="s">
        <v>23</v>
      </c>
      <c r="G330" s="6">
        <v>6.0</v>
      </c>
      <c r="H330" s="6">
        <v>115.94</v>
      </c>
      <c r="I330" s="6">
        <v>146.73</v>
      </c>
      <c r="J330" s="6">
        <v>13.78</v>
      </c>
      <c r="K330" s="6" t="s">
        <v>24</v>
      </c>
      <c r="L330" s="6" t="s">
        <v>25</v>
      </c>
      <c r="M330" s="6">
        <f t="shared" si="1"/>
        <v>695.64</v>
      </c>
      <c r="N330" s="6">
        <f t="shared" si="2"/>
        <v>759.063636</v>
      </c>
      <c r="O330" s="6">
        <f t="shared" si="3"/>
        <v>63.423636</v>
      </c>
      <c r="P330" s="7">
        <f t="shared" si="4"/>
        <v>0.08355509735</v>
      </c>
      <c r="Q330" s="6" t="s">
        <v>49</v>
      </c>
      <c r="R330" s="8">
        <f t="shared" si="5"/>
        <v>121.316364</v>
      </c>
    </row>
    <row r="331" ht="14.25" customHeight="1">
      <c r="A331" s="6" t="s">
        <v>958</v>
      </c>
      <c r="B331" s="6" t="s">
        <v>959</v>
      </c>
      <c r="C331" s="6" t="s">
        <v>960</v>
      </c>
      <c r="D331" s="6" t="s">
        <v>48</v>
      </c>
      <c r="E331" s="6" t="s">
        <v>53</v>
      </c>
      <c r="F331" s="6" t="s">
        <v>54</v>
      </c>
      <c r="G331" s="6">
        <v>7.0</v>
      </c>
      <c r="H331" s="6">
        <v>402.13</v>
      </c>
      <c r="I331" s="6">
        <v>522.39</v>
      </c>
      <c r="J331" s="6">
        <v>14.19</v>
      </c>
      <c r="K331" s="6" t="s">
        <v>24</v>
      </c>
      <c r="L331" s="6" t="s">
        <v>33</v>
      </c>
      <c r="M331" s="6">
        <f t="shared" si="1"/>
        <v>2814.91</v>
      </c>
      <c r="N331" s="6">
        <f t="shared" si="2"/>
        <v>3137.840013</v>
      </c>
      <c r="O331" s="6">
        <f t="shared" si="3"/>
        <v>322.930013</v>
      </c>
      <c r="P331" s="7">
        <f t="shared" si="4"/>
        <v>0.1029147476</v>
      </c>
      <c r="Q331" s="6" t="s">
        <v>26</v>
      </c>
      <c r="R331" s="8">
        <f t="shared" si="5"/>
        <v>518.889987</v>
      </c>
    </row>
    <row r="332" ht="14.25" customHeight="1">
      <c r="A332" s="6" t="s">
        <v>961</v>
      </c>
      <c r="B332" s="6" t="s">
        <v>962</v>
      </c>
      <c r="C332" s="6" t="s">
        <v>963</v>
      </c>
      <c r="D332" s="6" t="s">
        <v>48</v>
      </c>
      <c r="E332" s="6" t="s">
        <v>65</v>
      </c>
      <c r="F332" s="6" t="s">
        <v>75</v>
      </c>
      <c r="G332" s="6">
        <v>4.0</v>
      </c>
      <c r="H332" s="6">
        <v>204.93</v>
      </c>
      <c r="I332" s="6">
        <v>324.76</v>
      </c>
      <c r="J332" s="6">
        <v>9.11</v>
      </c>
      <c r="K332" s="6" t="s">
        <v>24</v>
      </c>
      <c r="L332" s="6" t="s">
        <v>25</v>
      </c>
      <c r="M332" s="6">
        <f t="shared" si="1"/>
        <v>819.72</v>
      </c>
      <c r="N332" s="6">
        <f t="shared" si="2"/>
        <v>1180.697456</v>
      </c>
      <c r="O332" s="6">
        <f t="shared" si="3"/>
        <v>360.977456</v>
      </c>
      <c r="P332" s="7">
        <f t="shared" si="4"/>
        <v>0.3057323908</v>
      </c>
      <c r="Q332" s="6" t="s">
        <v>34</v>
      </c>
      <c r="R332" s="8">
        <f t="shared" si="5"/>
        <v>118.342544</v>
      </c>
    </row>
    <row r="333" ht="14.25" customHeight="1">
      <c r="A333" s="6" t="s">
        <v>964</v>
      </c>
      <c r="B333" s="6" t="s">
        <v>965</v>
      </c>
      <c r="C333" s="6" t="s">
        <v>966</v>
      </c>
      <c r="D333" s="6" t="s">
        <v>70</v>
      </c>
      <c r="E333" s="6" t="s">
        <v>59</v>
      </c>
      <c r="F333" s="6" t="s">
        <v>60</v>
      </c>
      <c r="G333" s="6">
        <v>1.0</v>
      </c>
      <c r="H333" s="6">
        <v>344.15</v>
      </c>
      <c r="I333" s="6">
        <v>567.15</v>
      </c>
      <c r="J333" s="6">
        <v>7.09</v>
      </c>
      <c r="K333" s="6" t="s">
        <v>24</v>
      </c>
      <c r="L333" s="6" t="s">
        <v>25</v>
      </c>
      <c r="M333" s="6">
        <f t="shared" si="1"/>
        <v>344.15</v>
      </c>
      <c r="N333" s="6">
        <f t="shared" si="2"/>
        <v>526.939065</v>
      </c>
      <c r="O333" s="6">
        <f t="shared" si="3"/>
        <v>182.789065</v>
      </c>
      <c r="P333" s="7">
        <f t="shared" si="4"/>
        <v>0.3468884301</v>
      </c>
      <c r="Q333" s="6" t="s">
        <v>49</v>
      </c>
      <c r="R333" s="8">
        <f t="shared" si="5"/>
        <v>40.210935</v>
      </c>
    </row>
    <row r="334" ht="14.25" customHeight="1">
      <c r="A334" s="6" t="s">
        <v>967</v>
      </c>
      <c r="B334" s="6" t="s">
        <v>968</v>
      </c>
      <c r="C334" s="6" t="s">
        <v>969</v>
      </c>
      <c r="D334" s="6" t="s">
        <v>83</v>
      </c>
      <c r="E334" s="6" t="s">
        <v>38</v>
      </c>
      <c r="F334" s="6" t="s">
        <v>71</v>
      </c>
      <c r="G334" s="6">
        <v>4.0</v>
      </c>
      <c r="H334" s="6">
        <v>123.53</v>
      </c>
      <c r="I334" s="6">
        <v>179.63</v>
      </c>
      <c r="J334" s="6">
        <v>3.5</v>
      </c>
      <c r="K334" s="6" t="s">
        <v>24</v>
      </c>
      <c r="L334" s="6" t="s">
        <v>33</v>
      </c>
      <c r="M334" s="6">
        <f t="shared" si="1"/>
        <v>494.12</v>
      </c>
      <c r="N334" s="6">
        <f t="shared" si="2"/>
        <v>693.3718</v>
      </c>
      <c r="O334" s="6">
        <f t="shared" si="3"/>
        <v>199.2518</v>
      </c>
      <c r="P334" s="7">
        <f t="shared" si="4"/>
        <v>0.2873664605</v>
      </c>
      <c r="Q334" s="6" t="s">
        <v>49</v>
      </c>
      <c r="R334" s="8">
        <f t="shared" si="5"/>
        <v>25.1482</v>
      </c>
    </row>
    <row r="335" ht="14.25" customHeight="1">
      <c r="A335" s="6" t="s">
        <v>970</v>
      </c>
      <c r="B335" s="6" t="s">
        <v>191</v>
      </c>
      <c r="C335" s="6" t="s">
        <v>971</v>
      </c>
      <c r="D335" s="6" t="s">
        <v>70</v>
      </c>
      <c r="E335" s="6" t="s">
        <v>53</v>
      </c>
      <c r="F335" s="6" t="s">
        <v>54</v>
      </c>
      <c r="G335" s="6">
        <v>6.0</v>
      </c>
      <c r="H335" s="6">
        <v>160.87</v>
      </c>
      <c r="I335" s="6">
        <v>315.7</v>
      </c>
      <c r="J335" s="6">
        <v>1.3</v>
      </c>
      <c r="K335" s="6" t="s">
        <v>24</v>
      </c>
      <c r="L335" s="6" t="s">
        <v>33</v>
      </c>
      <c r="M335" s="6">
        <f t="shared" si="1"/>
        <v>965.22</v>
      </c>
      <c r="N335" s="6">
        <f t="shared" si="2"/>
        <v>1869.5754</v>
      </c>
      <c r="O335" s="6">
        <f t="shared" si="3"/>
        <v>904.3554</v>
      </c>
      <c r="P335" s="7">
        <f t="shared" si="4"/>
        <v>0.4837223468</v>
      </c>
      <c r="Q335" s="6" t="s">
        <v>49</v>
      </c>
      <c r="R335" s="8">
        <f t="shared" si="5"/>
        <v>24.6246</v>
      </c>
    </row>
    <row r="336" ht="14.25" customHeight="1">
      <c r="A336" s="6" t="s">
        <v>972</v>
      </c>
      <c r="B336" s="6" t="s">
        <v>269</v>
      </c>
      <c r="C336" s="6" t="s">
        <v>973</v>
      </c>
      <c r="D336" s="6" t="s">
        <v>48</v>
      </c>
      <c r="E336" s="6" t="s">
        <v>59</v>
      </c>
      <c r="F336" s="6" t="s">
        <v>60</v>
      </c>
      <c r="G336" s="6">
        <v>6.0</v>
      </c>
      <c r="H336" s="6">
        <v>284.21</v>
      </c>
      <c r="I336" s="6">
        <v>442.08</v>
      </c>
      <c r="J336" s="6">
        <v>7.5</v>
      </c>
      <c r="K336" s="6" t="s">
        <v>24</v>
      </c>
      <c r="L336" s="6" t="s">
        <v>33</v>
      </c>
      <c r="M336" s="6">
        <f t="shared" si="1"/>
        <v>1705.26</v>
      </c>
      <c r="N336" s="6">
        <f t="shared" si="2"/>
        <v>2453.544</v>
      </c>
      <c r="O336" s="6">
        <f t="shared" si="3"/>
        <v>748.284</v>
      </c>
      <c r="P336" s="7">
        <f t="shared" si="4"/>
        <v>0.3049808766</v>
      </c>
      <c r="Q336" s="6" t="s">
        <v>76</v>
      </c>
      <c r="R336" s="8">
        <f t="shared" si="5"/>
        <v>198.936</v>
      </c>
    </row>
    <row r="337" ht="14.25" customHeight="1">
      <c r="A337" s="6" t="s">
        <v>974</v>
      </c>
      <c r="B337" s="6" t="s">
        <v>269</v>
      </c>
      <c r="C337" s="6" t="s">
        <v>975</v>
      </c>
      <c r="D337" s="6" t="s">
        <v>21</v>
      </c>
      <c r="E337" s="6" t="s">
        <v>87</v>
      </c>
      <c r="F337" s="6" t="s">
        <v>88</v>
      </c>
      <c r="G337" s="6">
        <v>7.0</v>
      </c>
      <c r="H337" s="6">
        <v>439.65</v>
      </c>
      <c r="I337" s="6">
        <v>550.93</v>
      </c>
      <c r="J337" s="6">
        <v>3.56</v>
      </c>
      <c r="K337" s="6" t="s">
        <v>24</v>
      </c>
      <c r="L337" s="6" t="s">
        <v>33</v>
      </c>
      <c r="M337" s="6">
        <f t="shared" si="1"/>
        <v>3077.55</v>
      </c>
      <c r="N337" s="6">
        <f t="shared" si="2"/>
        <v>3719.218244</v>
      </c>
      <c r="O337" s="6">
        <f t="shared" si="3"/>
        <v>641.668244</v>
      </c>
      <c r="P337" s="7">
        <f t="shared" si="4"/>
        <v>0.17252772</v>
      </c>
      <c r="Q337" s="6" t="s">
        <v>49</v>
      </c>
      <c r="R337" s="8">
        <f t="shared" si="5"/>
        <v>137.291756</v>
      </c>
    </row>
    <row r="338" ht="14.25" customHeight="1">
      <c r="A338" s="6" t="s">
        <v>976</v>
      </c>
      <c r="B338" s="6" t="s">
        <v>977</v>
      </c>
      <c r="C338" s="6" t="s">
        <v>978</v>
      </c>
      <c r="D338" s="6" t="s">
        <v>21</v>
      </c>
      <c r="E338" s="6" t="s">
        <v>65</v>
      </c>
      <c r="F338" s="6" t="s">
        <v>66</v>
      </c>
      <c r="G338" s="6">
        <v>7.0</v>
      </c>
      <c r="H338" s="6">
        <v>336.14</v>
      </c>
      <c r="I338" s="6">
        <v>578.4</v>
      </c>
      <c r="J338" s="6">
        <v>10.13</v>
      </c>
      <c r="K338" s="6" t="s">
        <v>24</v>
      </c>
      <c r="L338" s="6" t="s">
        <v>61</v>
      </c>
      <c r="M338" s="6">
        <f t="shared" si="1"/>
        <v>2352.98</v>
      </c>
      <c r="N338" s="6">
        <f t="shared" si="2"/>
        <v>3638.65656</v>
      </c>
      <c r="O338" s="6">
        <f t="shared" si="3"/>
        <v>1285.67656</v>
      </c>
      <c r="P338" s="7">
        <f t="shared" si="4"/>
        <v>0.3533382551</v>
      </c>
      <c r="Q338" s="6" t="s">
        <v>49</v>
      </c>
      <c r="R338" s="8">
        <f t="shared" si="5"/>
        <v>410.14344</v>
      </c>
    </row>
    <row r="339" ht="14.25" customHeight="1">
      <c r="A339" s="6" t="s">
        <v>979</v>
      </c>
      <c r="B339" s="6" t="s">
        <v>871</v>
      </c>
      <c r="C339" s="6" t="s">
        <v>980</v>
      </c>
      <c r="D339" s="6" t="s">
        <v>30</v>
      </c>
      <c r="E339" s="6" t="s">
        <v>104</v>
      </c>
      <c r="F339" s="6" t="s">
        <v>105</v>
      </c>
      <c r="G339" s="6">
        <v>7.0</v>
      </c>
      <c r="H339" s="6">
        <v>343.37</v>
      </c>
      <c r="I339" s="6">
        <v>421.33</v>
      </c>
      <c r="J339" s="6">
        <v>14.15</v>
      </c>
      <c r="K339" s="6" t="s">
        <v>44</v>
      </c>
      <c r="L339" s="6" t="s">
        <v>55</v>
      </c>
      <c r="M339" s="6">
        <f t="shared" si="1"/>
        <v>2403.59</v>
      </c>
      <c r="N339" s="6">
        <f t="shared" si="2"/>
        <v>2531.982635</v>
      </c>
      <c r="O339" s="6">
        <f t="shared" si="3"/>
        <v>128.392635</v>
      </c>
      <c r="P339" s="7">
        <f t="shared" si="4"/>
        <v>0.05070833947</v>
      </c>
      <c r="Q339" s="6" t="s">
        <v>40</v>
      </c>
      <c r="R339" s="8">
        <f t="shared" si="5"/>
        <v>417.327365</v>
      </c>
    </row>
    <row r="340" ht="14.25" customHeight="1">
      <c r="A340" s="6" t="s">
        <v>981</v>
      </c>
      <c r="B340" s="6" t="s">
        <v>982</v>
      </c>
      <c r="C340" s="6" t="s">
        <v>983</v>
      </c>
      <c r="D340" s="6" t="s">
        <v>30</v>
      </c>
      <c r="E340" s="6" t="s">
        <v>22</v>
      </c>
      <c r="F340" s="6" t="s">
        <v>23</v>
      </c>
      <c r="G340" s="6">
        <v>6.0</v>
      </c>
      <c r="H340" s="6">
        <v>243.91</v>
      </c>
      <c r="I340" s="6">
        <v>316.12</v>
      </c>
      <c r="J340" s="6">
        <v>12.65</v>
      </c>
      <c r="K340" s="6" t="s">
        <v>24</v>
      </c>
      <c r="L340" s="6" t="s">
        <v>33</v>
      </c>
      <c r="M340" s="6">
        <f t="shared" si="1"/>
        <v>1463.46</v>
      </c>
      <c r="N340" s="6">
        <f t="shared" si="2"/>
        <v>1656.78492</v>
      </c>
      <c r="O340" s="6">
        <f t="shared" si="3"/>
        <v>193.32492</v>
      </c>
      <c r="P340" s="7">
        <f t="shared" si="4"/>
        <v>0.1166867936</v>
      </c>
      <c r="Q340" s="6" t="s">
        <v>40</v>
      </c>
      <c r="R340" s="8">
        <f t="shared" si="5"/>
        <v>239.93508</v>
      </c>
    </row>
    <row r="341" ht="14.25" customHeight="1">
      <c r="A341" s="6" t="s">
        <v>984</v>
      </c>
      <c r="B341" s="6" t="s">
        <v>985</v>
      </c>
      <c r="C341" s="6" t="s">
        <v>986</v>
      </c>
      <c r="D341" s="6" t="s">
        <v>64</v>
      </c>
      <c r="E341" s="6" t="s">
        <v>22</v>
      </c>
      <c r="F341" s="6" t="s">
        <v>23</v>
      </c>
      <c r="G341" s="6">
        <v>8.0</v>
      </c>
      <c r="H341" s="6">
        <v>343.44</v>
      </c>
      <c r="I341" s="6">
        <v>449.33</v>
      </c>
      <c r="J341" s="6">
        <v>3.42</v>
      </c>
      <c r="K341" s="6" t="s">
        <v>24</v>
      </c>
      <c r="L341" s="6" t="s">
        <v>61</v>
      </c>
      <c r="M341" s="6">
        <f t="shared" si="1"/>
        <v>2747.52</v>
      </c>
      <c r="N341" s="6">
        <f t="shared" si="2"/>
        <v>3471.703312</v>
      </c>
      <c r="O341" s="6">
        <f t="shared" si="3"/>
        <v>724.183312</v>
      </c>
      <c r="P341" s="7">
        <f t="shared" si="4"/>
        <v>0.2085959677</v>
      </c>
      <c r="Q341" s="6" t="s">
        <v>49</v>
      </c>
      <c r="R341" s="8">
        <f t="shared" si="5"/>
        <v>122.936688</v>
      </c>
    </row>
    <row r="342" ht="14.25" customHeight="1">
      <c r="A342" s="6" t="s">
        <v>987</v>
      </c>
      <c r="B342" s="6" t="s">
        <v>988</v>
      </c>
      <c r="C342" s="6" t="s">
        <v>989</v>
      </c>
      <c r="D342" s="6" t="s">
        <v>64</v>
      </c>
      <c r="E342" s="6" t="s">
        <v>65</v>
      </c>
      <c r="F342" s="6" t="s">
        <v>75</v>
      </c>
      <c r="G342" s="6">
        <v>8.0</v>
      </c>
      <c r="H342" s="6">
        <v>158.8</v>
      </c>
      <c r="I342" s="6">
        <v>267.16</v>
      </c>
      <c r="J342" s="6">
        <v>3.31</v>
      </c>
      <c r="K342" s="6" t="s">
        <v>24</v>
      </c>
      <c r="L342" s="6" t="s">
        <v>61</v>
      </c>
      <c r="M342" s="6">
        <f t="shared" si="1"/>
        <v>1270.4</v>
      </c>
      <c r="N342" s="6">
        <f t="shared" si="2"/>
        <v>2066.536032</v>
      </c>
      <c r="O342" s="6">
        <f t="shared" si="3"/>
        <v>796.136032</v>
      </c>
      <c r="P342" s="7">
        <f t="shared" si="4"/>
        <v>0.3852514641</v>
      </c>
      <c r="Q342" s="6" t="s">
        <v>49</v>
      </c>
      <c r="R342" s="8">
        <f t="shared" si="5"/>
        <v>70.743968</v>
      </c>
    </row>
    <row r="343" ht="14.25" customHeight="1">
      <c r="A343" s="6" t="s">
        <v>990</v>
      </c>
      <c r="B343" s="6" t="s">
        <v>991</v>
      </c>
      <c r="C343" s="6" t="s">
        <v>992</v>
      </c>
      <c r="D343" s="6" t="s">
        <v>48</v>
      </c>
      <c r="E343" s="6" t="s">
        <v>38</v>
      </c>
      <c r="F343" s="6" t="s">
        <v>71</v>
      </c>
      <c r="G343" s="6">
        <v>2.0</v>
      </c>
      <c r="H343" s="6">
        <v>95.83</v>
      </c>
      <c r="I343" s="6">
        <v>190.19</v>
      </c>
      <c r="J343" s="6">
        <v>22.74</v>
      </c>
      <c r="K343" s="6" t="s">
        <v>44</v>
      </c>
      <c r="L343" s="6" t="s">
        <v>25</v>
      </c>
      <c r="M343" s="6">
        <f t="shared" si="1"/>
        <v>191.66</v>
      </c>
      <c r="N343" s="6">
        <f t="shared" si="2"/>
        <v>293.881588</v>
      </c>
      <c r="O343" s="6">
        <f t="shared" si="3"/>
        <v>102.221588</v>
      </c>
      <c r="P343" s="7">
        <f t="shared" si="4"/>
        <v>0.3478325699</v>
      </c>
      <c r="Q343" s="6" t="s">
        <v>76</v>
      </c>
      <c r="R343" s="8">
        <f t="shared" si="5"/>
        <v>86.498412</v>
      </c>
    </row>
    <row r="344" ht="14.25" customHeight="1">
      <c r="A344" s="6" t="s">
        <v>993</v>
      </c>
      <c r="B344" s="6" t="s">
        <v>110</v>
      </c>
      <c r="C344" s="6" t="s">
        <v>994</v>
      </c>
      <c r="D344" s="6" t="s">
        <v>30</v>
      </c>
      <c r="E344" s="6" t="s">
        <v>65</v>
      </c>
      <c r="F344" s="6" t="s">
        <v>75</v>
      </c>
      <c r="G344" s="6">
        <v>3.0</v>
      </c>
      <c r="H344" s="6">
        <v>424.77</v>
      </c>
      <c r="I344" s="6">
        <v>540.33</v>
      </c>
      <c r="J344" s="6">
        <v>17.18</v>
      </c>
      <c r="K344" s="6" t="s">
        <v>44</v>
      </c>
      <c r="L344" s="6" t="s">
        <v>25</v>
      </c>
      <c r="M344" s="6">
        <f t="shared" si="1"/>
        <v>1274.31</v>
      </c>
      <c r="N344" s="6">
        <f t="shared" si="2"/>
        <v>1342.503918</v>
      </c>
      <c r="O344" s="6">
        <f t="shared" si="3"/>
        <v>68.193918</v>
      </c>
      <c r="P344" s="7">
        <f t="shared" si="4"/>
        <v>0.05079606628</v>
      </c>
      <c r="Q344" s="6" t="s">
        <v>34</v>
      </c>
      <c r="R344" s="8">
        <f t="shared" si="5"/>
        <v>278.486082</v>
      </c>
    </row>
    <row r="345" ht="14.25" customHeight="1">
      <c r="A345" s="6" t="s">
        <v>995</v>
      </c>
      <c r="B345" s="6" t="s">
        <v>606</v>
      </c>
      <c r="C345" s="6" t="s">
        <v>996</v>
      </c>
      <c r="D345" s="6" t="s">
        <v>64</v>
      </c>
      <c r="E345" s="6" t="s">
        <v>38</v>
      </c>
      <c r="F345" s="6" t="s">
        <v>39</v>
      </c>
      <c r="G345" s="6">
        <v>4.0</v>
      </c>
      <c r="H345" s="6">
        <v>49.98</v>
      </c>
      <c r="I345" s="6">
        <v>86.83</v>
      </c>
      <c r="J345" s="6">
        <v>20.46</v>
      </c>
      <c r="K345" s="6" t="s">
        <v>44</v>
      </c>
      <c r="L345" s="6" t="s">
        <v>55</v>
      </c>
      <c r="M345" s="6">
        <f t="shared" si="1"/>
        <v>199.92</v>
      </c>
      <c r="N345" s="6">
        <f t="shared" si="2"/>
        <v>276.258328</v>
      </c>
      <c r="O345" s="6">
        <f t="shared" si="3"/>
        <v>76.338328</v>
      </c>
      <c r="P345" s="7">
        <f t="shared" si="4"/>
        <v>0.2763295085</v>
      </c>
      <c r="Q345" s="6" t="s">
        <v>76</v>
      </c>
      <c r="R345" s="8">
        <f t="shared" si="5"/>
        <v>71.061672</v>
      </c>
    </row>
    <row r="346" ht="14.25" customHeight="1">
      <c r="A346" s="6" t="s">
        <v>997</v>
      </c>
      <c r="B346" s="6" t="s">
        <v>998</v>
      </c>
      <c r="C346" s="6" t="s">
        <v>999</v>
      </c>
      <c r="D346" s="6" t="s">
        <v>30</v>
      </c>
      <c r="E346" s="6" t="s">
        <v>59</v>
      </c>
      <c r="F346" s="6" t="s">
        <v>60</v>
      </c>
      <c r="G346" s="6">
        <v>8.0</v>
      </c>
      <c r="H346" s="6">
        <v>361.12</v>
      </c>
      <c r="I346" s="6">
        <v>531.29</v>
      </c>
      <c r="J346" s="6">
        <v>19.5</v>
      </c>
      <c r="K346" s="6" t="s">
        <v>24</v>
      </c>
      <c r="L346" s="6" t="s">
        <v>61</v>
      </c>
      <c r="M346" s="6">
        <f t="shared" si="1"/>
        <v>2888.96</v>
      </c>
      <c r="N346" s="6">
        <f t="shared" si="2"/>
        <v>3421.5076</v>
      </c>
      <c r="O346" s="6">
        <f t="shared" si="3"/>
        <v>532.5476</v>
      </c>
      <c r="P346" s="7">
        <f t="shared" si="4"/>
        <v>0.1556470604</v>
      </c>
      <c r="Q346" s="6" t="s">
        <v>76</v>
      </c>
      <c r="R346" s="8">
        <f t="shared" si="5"/>
        <v>828.8124</v>
      </c>
    </row>
    <row r="347" ht="14.25" customHeight="1">
      <c r="A347" s="6" t="s">
        <v>1000</v>
      </c>
      <c r="B347" s="6" t="s">
        <v>1001</v>
      </c>
      <c r="C347" s="6" t="s">
        <v>1002</v>
      </c>
      <c r="D347" s="6" t="s">
        <v>70</v>
      </c>
      <c r="E347" s="6" t="s">
        <v>38</v>
      </c>
      <c r="F347" s="6" t="s">
        <v>71</v>
      </c>
      <c r="G347" s="6">
        <v>5.0</v>
      </c>
      <c r="H347" s="6">
        <v>66.71</v>
      </c>
      <c r="I347" s="6">
        <v>125.59</v>
      </c>
      <c r="J347" s="6">
        <v>18.51</v>
      </c>
      <c r="K347" s="6" t="s">
        <v>44</v>
      </c>
      <c r="L347" s="6" t="s">
        <v>55</v>
      </c>
      <c r="M347" s="6">
        <f t="shared" si="1"/>
        <v>333.55</v>
      </c>
      <c r="N347" s="6">
        <f t="shared" si="2"/>
        <v>511.716455</v>
      </c>
      <c r="O347" s="6">
        <f t="shared" si="3"/>
        <v>178.166455</v>
      </c>
      <c r="P347" s="7">
        <f t="shared" si="4"/>
        <v>0.3481741759</v>
      </c>
      <c r="Q347" s="6" t="s">
        <v>76</v>
      </c>
      <c r="R347" s="8">
        <f t="shared" si="5"/>
        <v>116.233545</v>
      </c>
    </row>
    <row r="348" ht="14.25" customHeight="1">
      <c r="A348" s="6" t="s">
        <v>1003</v>
      </c>
      <c r="B348" s="6" t="s">
        <v>1004</v>
      </c>
      <c r="C348" s="6" t="s">
        <v>1005</v>
      </c>
      <c r="D348" s="6" t="s">
        <v>30</v>
      </c>
      <c r="E348" s="6" t="s">
        <v>104</v>
      </c>
      <c r="F348" s="6" t="s">
        <v>105</v>
      </c>
      <c r="G348" s="6">
        <v>3.0</v>
      </c>
      <c r="H348" s="6">
        <v>47.03</v>
      </c>
      <c r="I348" s="6">
        <v>87.22</v>
      </c>
      <c r="J348" s="6">
        <v>0.4</v>
      </c>
      <c r="K348" s="6" t="s">
        <v>44</v>
      </c>
      <c r="L348" s="6" t="s">
        <v>61</v>
      </c>
      <c r="M348" s="6">
        <f t="shared" si="1"/>
        <v>141.09</v>
      </c>
      <c r="N348" s="6">
        <f t="shared" si="2"/>
        <v>260.61336</v>
      </c>
      <c r="O348" s="6">
        <f t="shared" si="3"/>
        <v>119.52336</v>
      </c>
      <c r="P348" s="7">
        <f t="shared" si="4"/>
        <v>0.4586233031</v>
      </c>
      <c r="Q348" s="6" t="s">
        <v>76</v>
      </c>
      <c r="R348" s="8">
        <f t="shared" si="5"/>
        <v>1.04664</v>
      </c>
    </row>
    <row r="349" ht="14.25" customHeight="1">
      <c r="A349" s="6" t="s">
        <v>1006</v>
      </c>
      <c r="B349" s="6" t="s">
        <v>194</v>
      </c>
      <c r="C349" s="6" t="s">
        <v>1007</v>
      </c>
      <c r="D349" s="6" t="s">
        <v>30</v>
      </c>
      <c r="E349" s="6" t="s">
        <v>31</v>
      </c>
      <c r="F349" s="6" t="s">
        <v>32</v>
      </c>
      <c r="G349" s="6">
        <v>2.0</v>
      </c>
      <c r="H349" s="6">
        <v>190.01</v>
      </c>
      <c r="I349" s="6">
        <v>253.28</v>
      </c>
      <c r="J349" s="6">
        <v>4.89</v>
      </c>
      <c r="K349" s="6" t="s">
        <v>44</v>
      </c>
      <c r="L349" s="6" t="s">
        <v>55</v>
      </c>
      <c r="M349" s="6">
        <f t="shared" si="1"/>
        <v>380.02</v>
      </c>
      <c r="N349" s="6">
        <f t="shared" si="2"/>
        <v>481.789216</v>
      </c>
      <c r="O349" s="6">
        <f t="shared" si="3"/>
        <v>101.769216</v>
      </c>
      <c r="P349" s="7">
        <f t="shared" si="4"/>
        <v>0.2112318263</v>
      </c>
      <c r="Q349" s="6" t="s">
        <v>34</v>
      </c>
      <c r="R349" s="8">
        <f t="shared" si="5"/>
        <v>24.770784</v>
      </c>
    </row>
    <row r="350" ht="14.25" customHeight="1">
      <c r="A350" s="6" t="s">
        <v>1008</v>
      </c>
      <c r="B350" s="6" t="s">
        <v>1009</v>
      </c>
      <c r="C350" s="6" t="s">
        <v>1010</v>
      </c>
      <c r="D350" s="6" t="s">
        <v>83</v>
      </c>
      <c r="E350" s="6" t="s">
        <v>65</v>
      </c>
      <c r="F350" s="6" t="s">
        <v>75</v>
      </c>
      <c r="G350" s="6">
        <v>7.0</v>
      </c>
      <c r="H350" s="6">
        <v>220.07</v>
      </c>
      <c r="I350" s="6">
        <v>290.39</v>
      </c>
      <c r="J350" s="6">
        <v>14.58</v>
      </c>
      <c r="K350" s="6" t="s">
        <v>44</v>
      </c>
      <c r="L350" s="6" t="s">
        <v>61</v>
      </c>
      <c r="M350" s="6">
        <f t="shared" si="1"/>
        <v>1540.49</v>
      </c>
      <c r="N350" s="6">
        <f t="shared" si="2"/>
        <v>1736.357966</v>
      </c>
      <c r="O350" s="6">
        <f t="shared" si="3"/>
        <v>195.867966</v>
      </c>
      <c r="P350" s="7">
        <f t="shared" si="4"/>
        <v>0.112803909</v>
      </c>
      <c r="Q350" s="6" t="s">
        <v>40</v>
      </c>
      <c r="R350" s="8">
        <f t="shared" si="5"/>
        <v>296.372034</v>
      </c>
    </row>
    <row r="351" ht="14.25" customHeight="1">
      <c r="A351" s="6" t="s">
        <v>1011</v>
      </c>
      <c r="B351" s="6" t="s">
        <v>1012</v>
      </c>
      <c r="C351" s="6" t="s">
        <v>1013</v>
      </c>
      <c r="D351" s="6" t="s">
        <v>64</v>
      </c>
      <c r="E351" s="6" t="s">
        <v>104</v>
      </c>
      <c r="F351" s="6" t="s">
        <v>105</v>
      </c>
      <c r="G351" s="6">
        <v>7.0</v>
      </c>
      <c r="H351" s="6">
        <v>86.58</v>
      </c>
      <c r="I351" s="6">
        <v>161.69</v>
      </c>
      <c r="J351" s="6">
        <v>5.14</v>
      </c>
      <c r="K351" s="6" t="s">
        <v>24</v>
      </c>
      <c r="L351" s="6" t="s">
        <v>55</v>
      </c>
      <c r="M351" s="6">
        <f t="shared" si="1"/>
        <v>606.06</v>
      </c>
      <c r="N351" s="6">
        <f t="shared" si="2"/>
        <v>1073.653938</v>
      </c>
      <c r="O351" s="6">
        <f t="shared" si="3"/>
        <v>467.593938</v>
      </c>
      <c r="P351" s="7">
        <f t="shared" si="4"/>
        <v>0.4355164373</v>
      </c>
      <c r="Q351" s="6" t="s">
        <v>40</v>
      </c>
      <c r="R351" s="8">
        <f t="shared" si="5"/>
        <v>58.176062</v>
      </c>
    </row>
    <row r="352" ht="14.25" customHeight="1">
      <c r="A352" s="6" t="s">
        <v>1014</v>
      </c>
      <c r="B352" s="6" t="s">
        <v>1015</v>
      </c>
      <c r="C352" s="6" t="s">
        <v>1016</v>
      </c>
      <c r="D352" s="6" t="s">
        <v>64</v>
      </c>
      <c r="E352" s="6" t="s">
        <v>31</v>
      </c>
      <c r="F352" s="6" t="s">
        <v>32</v>
      </c>
      <c r="G352" s="6">
        <v>6.0</v>
      </c>
      <c r="H352" s="6">
        <v>214.5</v>
      </c>
      <c r="I352" s="6">
        <v>263.84</v>
      </c>
      <c r="J352" s="6">
        <v>6.73</v>
      </c>
      <c r="K352" s="6" t="s">
        <v>44</v>
      </c>
      <c r="L352" s="6" t="s">
        <v>33</v>
      </c>
      <c r="M352" s="6">
        <f t="shared" si="1"/>
        <v>1287</v>
      </c>
      <c r="N352" s="6">
        <f t="shared" si="2"/>
        <v>1476.501408</v>
      </c>
      <c r="O352" s="6">
        <f t="shared" si="3"/>
        <v>189.501408</v>
      </c>
      <c r="P352" s="7">
        <f t="shared" si="4"/>
        <v>0.1283448881</v>
      </c>
      <c r="Q352" s="6" t="s">
        <v>76</v>
      </c>
      <c r="R352" s="8">
        <f t="shared" si="5"/>
        <v>106.538592</v>
      </c>
    </row>
    <row r="353" ht="14.25" customHeight="1">
      <c r="A353" s="6" t="s">
        <v>1017</v>
      </c>
      <c r="B353" s="6" t="s">
        <v>1018</v>
      </c>
      <c r="C353" s="6" t="s">
        <v>1019</v>
      </c>
      <c r="D353" s="6" t="s">
        <v>30</v>
      </c>
      <c r="E353" s="6" t="s">
        <v>65</v>
      </c>
      <c r="F353" s="6" t="s">
        <v>66</v>
      </c>
      <c r="G353" s="6">
        <v>2.0</v>
      </c>
      <c r="H353" s="6">
        <v>445.69</v>
      </c>
      <c r="I353" s="6">
        <v>559.56</v>
      </c>
      <c r="J353" s="6">
        <v>2.31</v>
      </c>
      <c r="K353" s="6" t="s">
        <v>24</v>
      </c>
      <c r="L353" s="6" t="s">
        <v>61</v>
      </c>
      <c r="M353" s="6">
        <f t="shared" si="1"/>
        <v>891.38</v>
      </c>
      <c r="N353" s="6">
        <f t="shared" si="2"/>
        <v>1093.268328</v>
      </c>
      <c r="O353" s="6">
        <f t="shared" si="3"/>
        <v>201.888328</v>
      </c>
      <c r="P353" s="7">
        <f t="shared" si="4"/>
        <v>0.184664938</v>
      </c>
      <c r="Q353" s="6" t="s">
        <v>26</v>
      </c>
      <c r="R353" s="8">
        <f t="shared" si="5"/>
        <v>25.851672</v>
      </c>
    </row>
    <row r="354" ht="14.25" customHeight="1">
      <c r="A354" s="6" t="s">
        <v>1020</v>
      </c>
      <c r="B354" s="6" t="s">
        <v>1021</v>
      </c>
      <c r="C354" s="6" t="s">
        <v>1022</v>
      </c>
      <c r="D354" s="6" t="s">
        <v>21</v>
      </c>
      <c r="E354" s="6" t="s">
        <v>65</v>
      </c>
      <c r="F354" s="6" t="s">
        <v>75</v>
      </c>
      <c r="G354" s="6">
        <v>3.0</v>
      </c>
      <c r="H354" s="6">
        <v>356.03</v>
      </c>
      <c r="I354" s="6">
        <v>574.61</v>
      </c>
      <c r="J354" s="6">
        <v>19.15</v>
      </c>
      <c r="K354" s="6" t="s">
        <v>44</v>
      </c>
      <c r="L354" s="6" t="s">
        <v>33</v>
      </c>
      <c r="M354" s="6">
        <f t="shared" si="1"/>
        <v>1068.09</v>
      </c>
      <c r="N354" s="6">
        <f t="shared" si="2"/>
        <v>1393.716555</v>
      </c>
      <c r="O354" s="6">
        <f t="shared" si="3"/>
        <v>325.626555</v>
      </c>
      <c r="P354" s="7">
        <f t="shared" si="4"/>
        <v>0.2336390092</v>
      </c>
      <c r="Q354" s="6" t="s">
        <v>49</v>
      </c>
      <c r="R354" s="8">
        <f t="shared" si="5"/>
        <v>330.113445</v>
      </c>
    </row>
    <row r="355" ht="14.25" customHeight="1">
      <c r="A355" s="6" t="s">
        <v>1023</v>
      </c>
      <c r="B355" s="6" t="s">
        <v>365</v>
      </c>
      <c r="C355" s="6" t="s">
        <v>1024</v>
      </c>
      <c r="D355" s="6" t="s">
        <v>21</v>
      </c>
      <c r="E355" s="6" t="s">
        <v>104</v>
      </c>
      <c r="F355" s="6" t="s">
        <v>105</v>
      </c>
      <c r="G355" s="6">
        <v>4.0</v>
      </c>
      <c r="H355" s="6">
        <v>91.35</v>
      </c>
      <c r="I355" s="6">
        <v>142.64</v>
      </c>
      <c r="J355" s="6">
        <v>6.85</v>
      </c>
      <c r="K355" s="6" t="s">
        <v>24</v>
      </c>
      <c r="L355" s="6" t="s">
        <v>25</v>
      </c>
      <c r="M355" s="6">
        <f t="shared" si="1"/>
        <v>365.4</v>
      </c>
      <c r="N355" s="6">
        <f t="shared" si="2"/>
        <v>531.47664</v>
      </c>
      <c r="O355" s="6">
        <f t="shared" si="3"/>
        <v>166.07664</v>
      </c>
      <c r="P355" s="7">
        <f t="shared" si="4"/>
        <v>0.312481542</v>
      </c>
      <c r="Q355" s="6" t="s">
        <v>26</v>
      </c>
      <c r="R355" s="8">
        <f t="shared" si="5"/>
        <v>39.08336</v>
      </c>
    </row>
    <row r="356" ht="14.25" customHeight="1">
      <c r="A356" s="6" t="s">
        <v>1025</v>
      </c>
      <c r="B356" s="6" t="s">
        <v>1026</v>
      </c>
      <c r="C356" s="6" t="s">
        <v>1027</v>
      </c>
      <c r="D356" s="6" t="s">
        <v>83</v>
      </c>
      <c r="E356" s="6" t="s">
        <v>65</v>
      </c>
      <c r="F356" s="6" t="s">
        <v>66</v>
      </c>
      <c r="G356" s="6">
        <v>8.0</v>
      </c>
      <c r="H356" s="6">
        <v>129.88</v>
      </c>
      <c r="I356" s="6">
        <v>220.88</v>
      </c>
      <c r="J356" s="6">
        <v>3.02</v>
      </c>
      <c r="K356" s="6" t="s">
        <v>44</v>
      </c>
      <c r="L356" s="6" t="s">
        <v>33</v>
      </c>
      <c r="M356" s="6">
        <f t="shared" si="1"/>
        <v>1039.04</v>
      </c>
      <c r="N356" s="6">
        <f t="shared" si="2"/>
        <v>1713.675392</v>
      </c>
      <c r="O356" s="6">
        <f t="shared" si="3"/>
        <v>674.635392</v>
      </c>
      <c r="P356" s="7">
        <f t="shared" si="4"/>
        <v>0.3936774696</v>
      </c>
      <c r="Q356" s="6" t="s">
        <v>76</v>
      </c>
      <c r="R356" s="8">
        <f t="shared" si="5"/>
        <v>53.364608</v>
      </c>
    </row>
    <row r="357" ht="14.25" customHeight="1">
      <c r="A357" s="6" t="s">
        <v>1028</v>
      </c>
      <c r="B357" s="6" t="s">
        <v>1029</v>
      </c>
      <c r="C357" s="6" t="s">
        <v>1030</v>
      </c>
      <c r="D357" s="6" t="s">
        <v>70</v>
      </c>
      <c r="E357" s="6" t="s">
        <v>59</v>
      </c>
      <c r="F357" s="6" t="s">
        <v>60</v>
      </c>
      <c r="G357" s="6">
        <v>3.0</v>
      </c>
      <c r="H357" s="6">
        <v>188.19</v>
      </c>
      <c r="I357" s="6">
        <v>358.67</v>
      </c>
      <c r="J357" s="6">
        <v>18.32</v>
      </c>
      <c r="K357" s="6" t="s">
        <v>24</v>
      </c>
      <c r="L357" s="6" t="s">
        <v>33</v>
      </c>
      <c r="M357" s="6">
        <f t="shared" si="1"/>
        <v>564.57</v>
      </c>
      <c r="N357" s="6">
        <f t="shared" si="2"/>
        <v>878.884968</v>
      </c>
      <c r="O357" s="6">
        <f t="shared" si="3"/>
        <v>314.314968</v>
      </c>
      <c r="P357" s="7">
        <f t="shared" si="4"/>
        <v>0.3576292455</v>
      </c>
      <c r="Q357" s="6" t="s">
        <v>34</v>
      </c>
      <c r="R357" s="8">
        <f t="shared" si="5"/>
        <v>197.125032</v>
      </c>
    </row>
    <row r="358" ht="14.25" customHeight="1">
      <c r="A358" s="6" t="s">
        <v>1031</v>
      </c>
      <c r="B358" s="6" t="s">
        <v>1032</v>
      </c>
      <c r="C358" s="6" t="s">
        <v>1033</v>
      </c>
      <c r="D358" s="6" t="s">
        <v>48</v>
      </c>
      <c r="E358" s="6" t="s">
        <v>53</v>
      </c>
      <c r="F358" s="6" t="s">
        <v>54</v>
      </c>
      <c r="G358" s="6">
        <v>1.0</v>
      </c>
      <c r="H358" s="6">
        <v>123.33</v>
      </c>
      <c r="I358" s="6">
        <v>162.36</v>
      </c>
      <c r="J358" s="6">
        <v>23.16</v>
      </c>
      <c r="K358" s="6" t="s">
        <v>44</v>
      </c>
      <c r="L358" s="6" t="s">
        <v>25</v>
      </c>
      <c r="M358" s="6">
        <f t="shared" si="1"/>
        <v>123.33</v>
      </c>
      <c r="N358" s="6">
        <f t="shared" si="2"/>
        <v>124.757424</v>
      </c>
      <c r="O358" s="6">
        <f t="shared" si="3"/>
        <v>1.427424</v>
      </c>
      <c r="P358" s="7">
        <f t="shared" si="4"/>
        <v>0.01144159565</v>
      </c>
      <c r="Q358" s="6" t="s">
        <v>26</v>
      </c>
      <c r="R358" s="8">
        <f t="shared" si="5"/>
        <v>37.602576</v>
      </c>
    </row>
    <row r="359" ht="14.25" customHeight="1">
      <c r="A359" s="6" t="s">
        <v>1034</v>
      </c>
      <c r="B359" s="6" t="s">
        <v>600</v>
      </c>
      <c r="C359" s="6" t="s">
        <v>1035</v>
      </c>
      <c r="D359" s="6" t="s">
        <v>70</v>
      </c>
      <c r="E359" s="6" t="s">
        <v>59</v>
      </c>
      <c r="F359" s="6" t="s">
        <v>60</v>
      </c>
      <c r="G359" s="6">
        <v>2.0</v>
      </c>
      <c r="H359" s="6">
        <v>372.22</v>
      </c>
      <c r="I359" s="6">
        <v>532.36</v>
      </c>
      <c r="J359" s="6">
        <v>12.35</v>
      </c>
      <c r="K359" s="6" t="s">
        <v>44</v>
      </c>
      <c r="L359" s="6" t="s">
        <v>25</v>
      </c>
      <c r="M359" s="6">
        <f t="shared" si="1"/>
        <v>744.44</v>
      </c>
      <c r="N359" s="6">
        <f t="shared" si="2"/>
        <v>933.22708</v>
      </c>
      <c r="O359" s="6">
        <f t="shared" si="3"/>
        <v>188.78708</v>
      </c>
      <c r="P359" s="7">
        <f t="shared" si="4"/>
        <v>0.2022949013</v>
      </c>
      <c r="Q359" s="6" t="s">
        <v>26</v>
      </c>
      <c r="R359" s="8">
        <f t="shared" si="5"/>
        <v>131.49292</v>
      </c>
    </row>
    <row r="360" ht="14.25" customHeight="1">
      <c r="A360" s="6" t="s">
        <v>1036</v>
      </c>
      <c r="B360" s="6" t="s">
        <v>1037</v>
      </c>
      <c r="C360" s="6" t="s">
        <v>1038</v>
      </c>
      <c r="D360" s="6" t="s">
        <v>48</v>
      </c>
      <c r="E360" s="6" t="s">
        <v>31</v>
      </c>
      <c r="F360" s="6" t="s">
        <v>32</v>
      </c>
      <c r="G360" s="6">
        <v>6.0</v>
      </c>
      <c r="H360" s="6">
        <v>128.93</v>
      </c>
      <c r="I360" s="6">
        <v>177.01</v>
      </c>
      <c r="J360" s="6">
        <v>5.54</v>
      </c>
      <c r="K360" s="6" t="s">
        <v>44</v>
      </c>
      <c r="L360" s="6" t="s">
        <v>61</v>
      </c>
      <c r="M360" s="6">
        <f t="shared" si="1"/>
        <v>773.58</v>
      </c>
      <c r="N360" s="6">
        <f t="shared" si="2"/>
        <v>1003.221876</v>
      </c>
      <c r="O360" s="6">
        <f t="shared" si="3"/>
        <v>229.641876</v>
      </c>
      <c r="P360" s="7">
        <f t="shared" si="4"/>
        <v>0.2289043745</v>
      </c>
      <c r="Q360" s="6" t="s">
        <v>40</v>
      </c>
      <c r="R360" s="8">
        <f t="shared" si="5"/>
        <v>58.838124</v>
      </c>
    </row>
    <row r="361" ht="14.25" customHeight="1">
      <c r="A361" s="6" t="s">
        <v>1039</v>
      </c>
      <c r="B361" s="6" t="s">
        <v>1040</v>
      </c>
      <c r="C361" s="6" t="s">
        <v>1041</v>
      </c>
      <c r="D361" s="6" t="s">
        <v>83</v>
      </c>
      <c r="E361" s="6" t="s">
        <v>87</v>
      </c>
      <c r="F361" s="6" t="s">
        <v>88</v>
      </c>
      <c r="G361" s="6">
        <v>5.0</v>
      </c>
      <c r="H361" s="6">
        <v>450.86</v>
      </c>
      <c r="I361" s="6">
        <v>582.11</v>
      </c>
      <c r="J361" s="6">
        <v>22.6</v>
      </c>
      <c r="K361" s="6" t="s">
        <v>24</v>
      </c>
      <c r="L361" s="6" t="s">
        <v>61</v>
      </c>
      <c r="M361" s="6">
        <f t="shared" si="1"/>
        <v>2254.3</v>
      </c>
      <c r="N361" s="6">
        <f t="shared" si="2"/>
        <v>2252.7657</v>
      </c>
      <c r="O361" s="6">
        <f t="shared" si="3"/>
        <v>-1.5343</v>
      </c>
      <c r="P361" s="7">
        <f t="shared" si="4"/>
        <v>-0.000681073935</v>
      </c>
      <c r="Q361" s="6" t="s">
        <v>40</v>
      </c>
      <c r="R361" s="8">
        <f t="shared" si="5"/>
        <v>657.7843</v>
      </c>
    </row>
    <row r="362" ht="14.25" customHeight="1">
      <c r="A362" s="6" t="s">
        <v>1042</v>
      </c>
      <c r="B362" s="6" t="s">
        <v>1043</v>
      </c>
      <c r="C362" s="6" t="s">
        <v>1044</v>
      </c>
      <c r="D362" s="6" t="s">
        <v>64</v>
      </c>
      <c r="E362" s="6" t="s">
        <v>22</v>
      </c>
      <c r="F362" s="6" t="s">
        <v>23</v>
      </c>
      <c r="G362" s="6">
        <v>3.0</v>
      </c>
      <c r="H362" s="6">
        <v>431.72</v>
      </c>
      <c r="I362" s="6">
        <v>575.92</v>
      </c>
      <c r="J362" s="6">
        <v>3.57</v>
      </c>
      <c r="K362" s="6" t="s">
        <v>44</v>
      </c>
      <c r="L362" s="6" t="s">
        <v>55</v>
      </c>
      <c r="M362" s="6">
        <f t="shared" si="1"/>
        <v>1295.16</v>
      </c>
      <c r="N362" s="6">
        <f t="shared" si="2"/>
        <v>1666.078968</v>
      </c>
      <c r="O362" s="6">
        <f t="shared" si="3"/>
        <v>370.918968</v>
      </c>
      <c r="P362" s="7">
        <f t="shared" si="4"/>
        <v>0.2226298844</v>
      </c>
      <c r="Q362" s="6" t="s">
        <v>76</v>
      </c>
      <c r="R362" s="8">
        <f t="shared" si="5"/>
        <v>61.681032</v>
      </c>
    </row>
    <row r="363" ht="14.25" customHeight="1">
      <c r="A363" s="6" t="s">
        <v>1045</v>
      </c>
      <c r="B363" s="6" t="s">
        <v>497</v>
      </c>
      <c r="C363" s="6" t="s">
        <v>1046</v>
      </c>
      <c r="D363" s="6" t="s">
        <v>83</v>
      </c>
      <c r="E363" s="6" t="s">
        <v>59</v>
      </c>
      <c r="F363" s="6" t="s">
        <v>60</v>
      </c>
      <c r="G363" s="6">
        <v>1.0</v>
      </c>
      <c r="H363" s="6">
        <v>274.08</v>
      </c>
      <c r="I363" s="6">
        <v>350.36</v>
      </c>
      <c r="J363" s="6">
        <v>17.17</v>
      </c>
      <c r="K363" s="6" t="s">
        <v>24</v>
      </c>
      <c r="L363" s="6" t="s">
        <v>25</v>
      </c>
      <c r="M363" s="6">
        <f t="shared" si="1"/>
        <v>274.08</v>
      </c>
      <c r="N363" s="6">
        <f t="shared" si="2"/>
        <v>290.203188</v>
      </c>
      <c r="O363" s="6">
        <f t="shared" si="3"/>
        <v>16.123188</v>
      </c>
      <c r="P363" s="7">
        <f t="shared" si="4"/>
        <v>0.05555827319</v>
      </c>
      <c r="Q363" s="6" t="s">
        <v>40</v>
      </c>
      <c r="R363" s="8">
        <f t="shared" si="5"/>
        <v>60.156812</v>
      </c>
    </row>
    <row r="364" ht="14.25" customHeight="1">
      <c r="A364" s="6" t="s">
        <v>1047</v>
      </c>
      <c r="B364" s="6" t="s">
        <v>1048</v>
      </c>
      <c r="C364" s="6" t="s">
        <v>1049</v>
      </c>
      <c r="D364" s="6" t="s">
        <v>70</v>
      </c>
      <c r="E364" s="6" t="s">
        <v>38</v>
      </c>
      <c r="F364" s="6" t="s">
        <v>71</v>
      </c>
      <c r="G364" s="6">
        <v>5.0</v>
      </c>
      <c r="H364" s="6">
        <v>293.15</v>
      </c>
      <c r="I364" s="6">
        <v>557.06</v>
      </c>
      <c r="J364" s="6">
        <v>24.93</v>
      </c>
      <c r="K364" s="6" t="s">
        <v>24</v>
      </c>
      <c r="L364" s="6" t="s">
        <v>33</v>
      </c>
      <c r="M364" s="6">
        <f t="shared" si="1"/>
        <v>1465.75</v>
      </c>
      <c r="N364" s="6">
        <f t="shared" si="2"/>
        <v>2090.92471</v>
      </c>
      <c r="O364" s="6">
        <f t="shared" si="3"/>
        <v>625.17471</v>
      </c>
      <c r="P364" s="7">
        <f t="shared" si="4"/>
        <v>0.2989943669</v>
      </c>
      <c r="Q364" s="6" t="s">
        <v>49</v>
      </c>
      <c r="R364" s="8">
        <f t="shared" si="5"/>
        <v>694.37529</v>
      </c>
    </row>
    <row r="365" ht="14.25" customHeight="1">
      <c r="A365" s="6" t="s">
        <v>1050</v>
      </c>
      <c r="B365" s="6" t="s">
        <v>1051</v>
      </c>
      <c r="C365" s="6" t="s">
        <v>1052</v>
      </c>
      <c r="D365" s="6" t="s">
        <v>64</v>
      </c>
      <c r="E365" s="6" t="s">
        <v>87</v>
      </c>
      <c r="F365" s="6" t="s">
        <v>88</v>
      </c>
      <c r="G365" s="6">
        <v>5.0</v>
      </c>
      <c r="H365" s="6">
        <v>351.96</v>
      </c>
      <c r="I365" s="6">
        <v>489.67</v>
      </c>
      <c r="J365" s="6">
        <v>16.53</v>
      </c>
      <c r="K365" s="6" t="s">
        <v>44</v>
      </c>
      <c r="L365" s="6" t="s">
        <v>33</v>
      </c>
      <c r="M365" s="6">
        <f t="shared" si="1"/>
        <v>1759.8</v>
      </c>
      <c r="N365" s="6">
        <f t="shared" si="2"/>
        <v>2043.637745</v>
      </c>
      <c r="O365" s="6">
        <f t="shared" si="3"/>
        <v>283.837745</v>
      </c>
      <c r="P365" s="7">
        <f t="shared" si="4"/>
        <v>0.1388884824</v>
      </c>
      <c r="Q365" s="6" t="s">
        <v>76</v>
      </c>
      <c r="R365" s="8">
        <f t="shared" si="5"/>
        <v>404.712255</v>
      </c>
    </row>
    <row r="366" ht="14.25" customHeight="1">
      <c r="A366" s="6" t="s">
        <v>1053</v>
      </c>
      <c r="B366" s="6" t="s">
        <v>1054</v>
      </c>
      <c r="C366" s="6" t="s">
        <v>1055</v>
      </c>
      <c r="D366" s="6" t="s">
        <v>64</v>
      </c>
      <c r="E366" s="6" t="s">
        <v>22</v>
      </c>
      <c r="F366" s="6" t="s">
        <v>23</v>
      </c>
      <c r="G366" s="6">
        <v>7.0</v>
      </c>
      <c r="H366" s="6">
        <v>263.21</v>
      </c>
      <c r="I366" s="6">
        <v>482.39</v>
      </c>
      <c r="J366" s="6">
        <v>3.37</v>
      </c>
      <c r="K366" s="6" t="s">
        <v>24</v>
      </c>
      <c r="L366" s="6" t="s">
        <v>33</v>
      </c>
      <c r="M366" s="6">
        <f t="shared" si="1"/>
        <v>1842.47</v>
      </c>
      <c r="N366" s="6">
        <f t="shared" si="2"/>
        <v>3262.934199</v>
      </c>
      <c r="O366" s="6">
        <f t="shared" si="3"/>
        <v>1420.464199</v>
      </c>
      <c r="P366" s="7">
        <f t="shared" si="4"/>
        <v>0.4353333878</v>
      </c>
      <c r="Q366" s="6" t="s">
        <v>26</v>
      </c>
      <c r="R366" s="8">
        <f t="shared" si="5"/>
        <v>113.795801</v>
      </c>
    </row>
    <row r="367" ht="14.25" customHeight="1">
      <c r="A367" s="6" t="s">
        <v>1056</v>
      </c>
      <c r="B367" s="6" t="s">
        <v>396</v>
      </c>
      <c r="C367" s="6" t="s">
        <v>1057</v>
      </c>
      <c r="D367" s="6" t="s">
        <v>21</v>
      </c>
      <c r="E367" s="6" t="s">
        <v>38</v>
      </c>
      <c r="F367" s="6" t="s">
        <v>71</v>
      </c>
      <c r="G367" s="6">
        <v>7.0</v>
      </c>
      <c r="H367" s="6">
        <v>283.57</v>
      </c>
      <c r="I367" s="6">
        <v>434.71</v>
      </c>
      <c r="J367" s="6">
        <v>20.33</v>
      </c>
      <c r="K367" s="6" t="s">
        <v>44</v>
      </c>
      <c r="L367" s="6" t="s">
        <v>61</v>
      </c>
      <c r="M367" s="6">
        <f t="shared" si="1"/>
        <v>1984.99</v>
      </c>
      <c r="N367" s="6">
        <f t="shared" si="2"/>
        <v>2424.334199</v>
      </c>
      <c r="O367" s="6">
        <f t="shared" si="3"/>
        <v>439.344199</v>
      </c>
      <c r="P367" s="7">
        <f t="shared" si="4"/>
        <v>0.1812226215</v>
      </c>
      <c r="Q367" s="6" t="s">
        <v>34</v>
      </c>
      <c r="R367" s="8">
        <f t="shared" si="5"/>
        <v>618.635801</v>
      </c>
    </row>
    <row r="368" ht="14.25" customHeight="1">
      <c r="A368" s="6" t="s">
        <v>1058</v>
      </c>
      <c r="B368" s="6" t="s">
        <v>1059</v>
      </c>
      <c r="C368" s="6" t="s">
        <v>1060</v>
      </c>
      <c r="D368" s="6" t="s">
        <v>64</v>
      </c>
      <c r="E368" s="6" t="s">
        <v>38</v>
      </c>
      <c r="F368" s="6" t="s">
        <v>71</v>
      </c>
      <c r="G368" s="6">
        <v>5.0</v>
      </c>
      <c r="H368" s="6">
        <v>350.19</v>
      </c>
      <c r="I368" s="6">
        <v>597.01</v>
      </c>
      <c r="J368" s="6">
        <v>20.52</v>
      </c>
      <c r="K368" s="6" t="s">
        <v>44</v>
      </c>
      <c r="L368" s="6" t="s">
        <v>33</v>
      </c>
      <c r="M368" s="6">
        <f t="shared" si="1"/>
        <v>1750.95</v>
      </c>
      <c r="N368" s="6">
        <f t="shared" si="2"/>
        <v>2372.51774</v>
      </c>
      <c r="O368" s="6">
        <f t="shared" si="3"/>
        <v>621.56774</v>
      </c>
      <c r="P368" s="7">
        <f t="shared" si="4"/>
        <v>0.261986551</v>
      </c>
      <c r="Q368" s="6" t="s">
        <v>76</v>
      </c>
      <c r="R368" s="8">
        <f t="shared" si="5"/>
        <v>612.53226</v>
      </c>
    </row>
    <row r="369" ht="14.25" customHeight="1">
      <c r="A369" s="6" t="s">
        <v>1061</v>
      </c>
      <c r="B369" s="6" t="s">
        <v>652</v>
      </c>
      <c r="C369" s="6" t="s">
        <v>1062</v>
      </c>
      <c r="D369" s="6" t="s">
        <v>30</v>
      </c>
      <c r="E369" s="6" t="s">
        <v>31</v>
      </c>
      <c r="F369" s="6" t="s">
        <v>32</v>
      </c>
      <c r="G369" s="6">
        <v>3.0</v>
      </c>
      <c r="H369" s="6">
        <v>116.3</v>
      </c>
      <c r="I369" s="6">
        <v>152.73</v>
      </c>
      <c r="J369" s="6">
        <v>0.15</v>
      </c>
      <c r="K369" s="6" t="s">
        <v>44</v>
      </c>
      <c r="L369" s="6" t="s">
        <v>55</v>
      </c>
      <c r="M369" s="6">
        <f t="shared" si="1"/>
        <v>348.9</v>
      </c>
      <c r="N369" s="6">
        <f t="shared" si="2"/>
        <v>457.502715</v>
      </c>
      <c r="O369" s="6">
        <f t="shared" si="3"/>
        <v>108.602715</v>
      </c>
      <c r="P369" s="7">
        <f t="shared" si="4"/>
        <v>0.2373815749</v>
      </c>
      <c r="Q369" s="6" t="s">
        <v>49</v>
      </c>
      <c r="R369" s="8">
        <f t="shared" si="5"/>
        <v>0.687285</v>
      </c>
    </row>
    <row r="370" ht="14.25" customHeight="1">
      <c r="A370" s="6" t="s">
        <v>1063</v>
      </c>
      <c r="B370" s="6" t="s">
        <v>1064</v>
      </c>
      <c r="C370" s="6" t="s">
        <v>1065</v>
      </c>
      <c r="D370" s="6" t="s">
        <v>64</v>
      </c>
      <c r="E370" s="6" t="s">
        <v>59</v>
      </c>
      <c r="F370" s="6" t="s">
        <v>60</v>
      </c>
      <c r="G370" s="6">
        <v>7.0</v>
      </c>
      <c r="H370" s="6">
        <v>380.64</v>
      </c>
      <c r="I370" s="6">
        <v>466.84</v>
      </c>
      <c r="J370" s="6">
        <v>4.01</v>
      </c>
      <c r="K370" s="6" t="s">
        <v>24</v>
      </c>
      <c r="L370" s="6" t="s">
        <v>25</v>
      </c>
      <c r="M370" s="6">
        <f t="shared" si="1"/>
        <v>2664.48</v>
      </c>
      <c r="N370" s="6">
        <f t="shared" si="2"/>
        <v>3136.838012</v>
      </c>
      <c r="O370" s="6">
        <f t="shared" si="3"/>
        <v>472.358012</v>
      </c>
      <c r="P370" s="7">
        <f t="shared" si="4"/>
        <v>0.1505841265</v>
      </c>
      <c r="Q370" s="6" t="s">
        <v>34</v>
      </c>
      <c r="R370" s="8">
        <f t="shared" si="5"/>
        <v>131.041988</v>
      </c>
    </row>
    <row r="371" ht="14.25" customHeight="1">
      <c r="A371" s="6" t="s">
        <v>1066</v>
      </c>
      <c r="B371" s="6" t="s">
        <v>1067</v>
      </c>
      <c r="C371" s="6" t="s">
        <v>1068</v>
      </c>
      <c r="D371" s="6" t="s">
        <v>83</v>
      </c>
      <c r="E371" s="6" t="s">
        <v>38</v>
      </c>
      <c r="F371" s="6" t="s">
        <v>39</v>
      </c>
      <c r="G371" s="6">
        <v>4.0</v>
      </c>
      <c r="H371" s="6">
        <v>50.32</v>
      </c>
      <c r="I371" s="6">
        <v>97.2</v>
      </c>
      <c r="J371" s="6">
        <v>9.01</v>
      </c>
      <c r="K371" s="6" t="s">
        <v>24</v>
      </c>
      <c r="L371" s="6" t="s">
        <v>61</v>
      </c>
      <c r="M371" s="6">
        <f t="shared" si="1"/>
        <v>201.28</v>
      </c>
      <c r="N371" s="6">
        <f t="shared" si="2"/>
        <v>353.76912</v>
      </c>
      <c r="O371" s="6">
        <f t="shared" si="3"/>
        <v>152.48912</v>
      </c>
      <c r="P371" s="7">
        <f t="shared" si="4"/>
        <v>0.4310413526</v>
      </c>
      <c r="Q371" s="6" t="s">
        <v>26</v>
      </c>
      <c r="R371" s="8">
        <f t="shared" si="5"/>
        <v>35.03088</v>
      </c>
    </row>
    <row r="372" ht="14.25" customHeight="1">
      <c r="A372" s="6" t="s">
        <v>1069</v>
      </c>
      <c r="B372" s="6" t="s">
        <v>1070</v>
      </c>
      <c r="C372" s="6" t="s">
        <v>1071</v>
      </c>
      <c r="D372" s="6" t="s">
        <v>70</v>
      </c>
      <c r="E372" s="6" t="s">
        <v>59</v>
      </c>
      <c r="F372" s="6" t="s">
        <v>60</v>
      </c>
      <c r="G372" s="6">
        <v>8.0</v>
      </c>
      <c r="H372" s="6">
        <v>66.79</v>
      </c>
      <c r="I372" s="6">
        <v>111.71</v>
      </c>
      <c r="J372" s="6">
        <v>3.43</v>
      </c>
      <c r="K372" s="6" t="s">
        <v>44</v>
      </c>
      <c r="L372" s="6" t="s">
        <v>25</v>
      </c>
      <c r="M372" s="6">
        <f t="shared" si="1"/>
        <v>534.32</v>
      </c>
      <c r="N372" s="6">
        <f t="shared" si="2"/>
        <v>863.026776</v>
      </c>
      <c r="O372" s="6">
        <f t="shared" si="3"/>
        <v>328.706776</v>
      </c>
      <c r="P372" s="7">
        <f t="shared" si="4"/>
        <v>0.3808766833</v>
      </c>
      <c r="Q372" s="6" t="s">
        <v>34</v>
      </c>
      <c r="R372" s="8">
        <f t="shared" si="5"/>
        <v>30.653224</v>
      </c>
    </row>
    <row r="373" ht="14.25" customHeight="1">
      <c r="A373" s="6" t="s">
        <v>1072</v>
      </c>
      <c r="B373" s="6" t="s">
        <v>1073</v>
      </c>
      <c r="C373" s="6" t="s">
        <v>1074</v>
      </c>
      <c r="D373" s="6" t="s">
        <v>83</v>
      </c>
      <c r="E373" s="6" t="s">
        <v>104</v>
      </c>
      <c r="F373" s="6" t="s">
        <v>105</v>
      </c>
      <c r="G373" s="6">
        <v>7.0</v>
      </c>
      <c r="H373" s="6">
        <v>265.4</v>
      </c>
      <c r="I373" s="6">
        <v>433.04</v>
      </c>
      <c r="J373" s="6">
        <v>14.45</v>
      </c>
      <c r="K373" s="6" t="s">
        <v>44</v>
      </c>
      <c r="L373" s="6" t="s">
        <v>61</v>
      </c>
      <c r="M373" s="6">
        <f t="shared" si="1"/>
        <v>1857.8</v>
      </c>
      <c r="N373" s="6">
        <f t="shared" si="2"/>
        <v>2593.26004</v>
      </c>
      <c r="O373" s="6">
        <f t="shared" si="3"/>
        <v>735.46004</v>
      </c>
      <c r="P373" s="7">
        <f t="shared" si="4"/>
        <v>0.2836044317</v>
      </c>
      <c r="Q373" s="6" t="s">
        <v>26</v>
      </c>
      <c r="R373" s="8">
        <f t="shared" si="5"/>
        <v>438.01996</v>
      </c>
    </row>
    <row r="374" ht="14.25" customHeight="1">
      <c r="A374" s="6" t="s">
        <v>1075</v>
      </c>
      <c r="B374" s="6" t="s">
        <v>1076</v>
      </c>
      <c r="C374" s="6" t="s">
        <v>1077</v>
      </c>
      <c r="D374" s="6" t="s">
        <v>83</v>
      </c>
      <c r="E374" s="6" t="s">
        <v>65</v>
      </c>
      <c r="F374" s="6" t="s">
        <v>75</v>
      </c>
      <c r="G374" s="6">
        <v>7.0</v>
      </c>
      <c r="H374" s="6">
        <v>86.38</v>
      </c>
      <c r="I374" s="6">
        <v>108.11</v>
      </c>
      <c r="J374" s="6">
        <v>3.43</v>
      </c>
      <c r="K374" s="6" t="s">
        <v>24</v>
      </c>
      <c r="L374" s="6" t="s">
        <v>61</v>
      </c>
      <c r="M374" s="6">
        <f t="shared" si="1"/>
        <v>604.66</v>
      </c>
      <c r="N374" s="6">
        <f t="shared" si="2"/>
        <v>730.812789</v>
      </c>
      <c r="O374" s="6">
        <f t="shared" si="3"/>
        <v>126.152789</v>
      </c>
      <c r="P374" s="7">
        <f t="shared" si="4"/>
        <v>0.1726198431</v>
      </c>
      <c r="Q374" s="6" t="s">
        <v>76</v>
      </c>
      <c r="R374" s="8">
        <f t="shared" si="5"/>
        <v>25.957211</v>
      </c>
    </row>
    <row r="375" ht="14.25" customHeight="1">
      <c r="A375" s="6" t="s">
        <v>1078</v>
      </c>
      <c r="B375" s="6" t="s">
        <v>554</v>
      </c>
      <c r="C375" s="6" t="s">
        <v>1079</v>
      </c>
      <c r="D375" s="6" t="s">
        <v>30</v>
      </c>
      <c r="E375" s="6" t="s">
        <v>22</v>
      </c>
      <c r="F375" s="6" t="s">
        <v>23</v>
      </c>
      <c r="G375" s="6">
        <v>1.0</v>
      </c>
      <c r="H375" s="6">
        <v>170.22</v>
      </c>
      <c r="I375" s="6">
        <v>299.47</v>
      </c>
      <c r="J375" s="6">
        <v>5.01</v>
      </c>
      <c r="K375" s="6" t="s">
        <v>24</v>
      </c>
      <c r="L375" s="6" t="s">
        <v>33</v>
      </c>
      <c r="M375" s="6">
        <f t="shared" si="1"/>
        <v>170.22</v>
      </c>
      <c r="N375" s="6">
        <f t="shared" si="2"/>
        <v>284.466553</v>
      </c>
      <c r="O375" s="6">
        <f t="shared" si="3"/>
        <v>114.246553</v>
      </c>
      <c r="P375" s="7">
        <f t="shared" si="4"/>
        <v>0.4016168221</v>
      </c>
      <c r="Q375" s="6" t="s">
        <v>34</v>
      </c>
      <c r="R375" s="8">
        <f t="shared" si="5"/>
        <v>15.003447</v>
      </c>
    </row>
    <row r="376" ht="14.25" customHeight="1">
      <c r="A376" s="6" t="s">
        <v>1080</v>
      </c>
      <c r="B376" s="6" t="s">
        <v>1081</v>
      </c>
      <c r="C376" s="6" t="s">
        <v>1082</v>
      </c>
      <c r="D376" s="6" t="s">
        <v>64</v>
      </c>
      <c r="E376" s="6" t="s">
        <v>22</v>
      </c>
      <c r="F376" s="6" t="s">
        <v>23</v>
      </c>
      <c r="G376" s="6">
        <v>6.0</v>
      </c>
      <c r="H376" s="6">
        <v>100.8</v>
      </c>
      <c r="I376" s="6">
        <v>166.65</v>
      </c>
      <c r="J376" s="6">
        <v>24.24</v>
      </c>
      <c r="K376" s="6" t="s">
        <v>44</v>
      </c>
      <c r="L376" s="6" t="s">
        <v>33</v>
      </c>
      <c r="M376" s="6">
        <f t="shared" si="1"/>
        <v>604.8</v>
      </c>
      <c r="N376" s="6">
        <f t="shared" si="2"/>
        <v>757.52424</v>
      </c>
      <c r="O376" s="6">
        <f t="shared" si="3"/>
        <v>152.72424</v>
      </c>
      <c r="P376" s="7">
        <f t="shared" si="4"/>
        <v>0.2016097069</v>
      </c>
      <c r="Q376" s="6" t="s">
        <v>40</v>
      </c>
      <c r="R376" s="8">
        <f t="shared" si="5"/>
        <v>242.37576</v>
      </c>
    </row>
    <row r="377" ht="14.25" customHeight="1">
      <c r="A377" s="6" t="s">
        <v>1083</v>
      </c>
      <c r="B377" s="6" t="s">
        <v>1070</v>
      </c>
      <c r="C377" s="6" t="s">
        <v>1084</v>
      </c>
      <c r="D377" s="6" t="s">
        <v>64</v>
      </c>
      <c r="E377" s="6" t="s">
        <v>38</v>
      </c>
      <c r="F377" s="6" t="s">
        <v>71</v>
      </c>
      <c r="G377" s="6">
        <v>3.0</v>
      </c>
      <c r="H377" s="6">
        <v>257.02</v>
      </c>
      <c r="I377" s="6">
        <v>416.49</v>
      </c>
      <c r="J377" s="6">
        <v>3.44</v>
      </c>
      <c r="K377" s="6" t="s">
        <v>24</v>
      </c>
      <c r="L377" s="6" t="s">
        <v>25</v>
      </c>
      <c r="M377" s="6">
        <f t="shared" si="1"/>
        <v>771.06</v>
      </c>
      <c r="N377" s="6">
        <f t="shared" si="2"/>
        <v>1206.488232</v>
      </c>
      <c r="O377" s="6">
        <f t="shared" si="3"/>
        <v>435.428232</v>
      </c>
      <c r="P377" s="7">
        <f t="shared" si="4"/>
        <v>0.3609054945</v>
      </c>
      <c r="Q377" s="6" t="s">
        <v>76</v>
      </c>
      <c r="R377" s="8">
        <f t="shared" si="5"/>
        <v>42.981768</v>
      </c>
    </row>
    <row r="378" ht="14.25" customHeight="1">
      <c r="A378" s="6" t="s">
        <v>1085</v>
      </c>
      <c r="B378" s="6" t="s">
        <v>1086</v>
      </c>
      <c r="C378" s="6" t="s">
        <v>1087</v>
      </c>
      <c r="D378" s="6" t="s">
        <v>48</v>
      </c>
      <c r="E378" s="6" t="s">
        <v>53</v>
      </c>
      <c r="F378" s="6" t="s">
        <v>54</v>
      </c>
      <c r="G378" s="6">
        <v>2.0</v>
      </c>
      <c r="H378" s="6">
        <v>126.66</v>
      </c>
      <c r="I378" s="6">
        <v>199.5</v>
      </c>
      <c r="J378" s="6">
        <v>2.71</v>
      </c>
      <c r="K378" s="6" t="s">
        <v>24</v>
      </c>
      <c r="L378" s="6" t="s">
        <v>33</v>
      </c>
      <c r="M378" s="6">
        <f t="shared" si="1"/>
        <v>253.32</v>
      </c>
      <c r="N378" s="6">
        <f t="shared" si="2"/>
        <v>388.1871</v>
      </c>
      <c r="O378" s="6">
        <f t="shared" si="3"/>
        <v>134.8671</v>
      </c>
      <c r="P378" s="7">
        <f t="shared" si="4"/>
        <v>0.347428083</v>
      </c>
      <c r="Q378" s="6" t="s">
        <v>26</v>
      </c>
      <c r="R378" s="8">
        <f t="shared" si="5"/>
        <v>10.8129</v>
      </c>
    </row>
    <row r="379" ht="14.25" customHeight="1">
      <c r="A379" s="6" t="s">
        <v>1088</v>
      </c>
      <c r="B379" s="6" t="s">
        <v>1089</v>
      </c>
      <c r="C379" s="6" t="s">
        <v>1090</v>
      </c>
      <c r="D379" s="6" t="s">
        <v>64</v>
      </c>
      <c r="E379" s="6" t="s">
        <v>53</v>
      </c>
      <c r="F379" s="6" t="s">
        <v>54</v>
      </c>
      <c r="G379" s="6">
        <v>6.0</v>
      </c>
      <c r="H379" s="6">
        <v>337.31</v>
      </c>
      <c r="I379" s="6">
        <v>398.18</v>
      </c>
      <c r="J379" s="6">
        <v>9.94</v>
      </c>
      <c r="K379" s="6" t="s">
        <v>24</v>
      </c>
      <c r="L379" s="6" t="s">
        <v>33</v>
      </c>
      <c r="M379" s="6">
        <f t="shared" si="1"/>
        <v>2023.86</v>
      </c>
      <c r="N379" s="6">
        <f t="shared" si="2"/>
        <v>2151.605448</v>
      </c>
      <c r="O379" s="6">
        <f t="shared" si="3"/>
        <v>127.745448</v>
      </c>
      <c r="P379" s="7">
        <f t="shared" si="4"/>
        <v>0.05937215307</v>
      </c>
      <c r="Q379" s="6" t="s">
        <v>40</v>
      </c>
      <c r="R379" s="8">
        <f t="shared" si="5"/>
        <v>237.474552</v>
      </c>
    </row>
    <row r="380" ht="14.25" customHeight="1">
      <c r="A380" s="6" t="s">
        <v>1091</v>
      </c>
      <c r="B380" s="6" t="s">
        <v>1092</v>
      </c>
      <c r="C380" s="6" t="s">
        <v>1093</v>
      </c>
      <c r="D380" s="6" t="s">
        <v>64</v>
      </c>
      <c r="E380" s="6" t="s">
        <v>38</v>
      </c>
      <c r="F380" s="6" t="s">
        <v>71</v>
      </c>
      <c r="G380" s="6">
        <v>4.0</v>
      </c>
      <c r="H380" s="6">
        <v>54.79</v>
      </c>
      <c r="I380" s="6">
        <v>89.85</v>
      </c>
      <c r="J380" s="6">
        <v>3.79</v>
      </c>
      <c r="K380" s="6" t="s">
        <v>24</v>
      </c>
      <c r="L380" s="6" t="s">
        <v>25</v>
      </c>
      <c r="M380" s="6">
        <f t="shared" si="1"/>
        <v>219.16</v>
      </c>
      <c r="N380" s="6">
        <f t="shared" si="2"/>
        <v>345.77874</v>
      </c>
      <c r="O380" s="6">
        <f t="shared" si="3"/>
        <v>126.61874</v>
      </c>
      <c r="P380" s="7">
        <f t="shared" si="4"/>
        <v>0.366184283</v>
      </c>
      <c r="Q380" s="6" t="s">
        <v>76</v>
      </c>
      <c r="R380" s="8">
        <f t="shared" si="5"/>
        <v>13.62126</v>
      </c>
    </row>
    <row r="381" ht="14.25" customHeight="1">
      <c r="A381" s="6" t="s">
        <v>1094</v>
      </c>
      <c r="B381" s="6" t="s">
        <v>1032</v>
      </c>
      <c r="C381" s="6" t="s">
        <v>1095</v>
      </c>
      <c r="D381" s="6" t="s">
        <v>83</v>
      </c>
      <c r="E381" s="6" t="s">
        <v>87</v>
      </c>
      <c r="F381" s="6" t="s">
        <v>88</v>
      </c>
      <c r="G381" s="6">
        <v>8.0</v>
      </c>
      <c r="H381" s="6">
        <v>246.77</v>
      </c>
      <c r="I381" s="6">
        <v>387.95</v>
      </c>
      <c r="J381" s="6">
        <v>17.62</v>
      </c>
      <c r="K381" s="6" t="s">
        <v>44</v>
      </c>
      <c r="L381" s="6" t="s">
        <v>25</v>
      </c>
      <c r="M381" s="6">
        <f t="shared" si="1"/>
        <v>1974.16</v>
      </c>
      <c r="N381" s="6">
        <f t="shared" si="2"/>
        <v>2556.74568</v>
      </c>
      <c r="O381" s="6">
        <f t="shared" si="3"/>
        <v>582.58568</v>
      </c>
      <c r="P381" s="7">
        <f t="shared" si="4"/>
        <v>0.2278621939</v>
      </c>
      <c r="Q381" s="6" t="s">
        <v>26</v>
      </c>
      <c r="R381" s="8">
        <f t="shared" si="5"/>
        <v>546.85432</v>
      </c>
    </row>
    <row r="382" ht="14.25" customHeight="1">
      <c r="A382" s="6" t="s">
        <v>1096</v>
      </c>
      <c r="B382" s="6" t="s">
        <v>1097</v>
      </c>
      <c r="C382" s="6" t="s">
        <v>1098</v>
      </c>
      <c r="D382" s="6" t="s">
        <v>48</v>
      </c>
      <c r="E382" s="6" t="s">
        <v>31</v>
      </c>
      <c r="F382" s="6" t="s">
        <v>32</v>
      </c>
      <c r="G382" s="6">
        <v>4.0</v>
      </c>
      <c r="H382" s="6">
        <v>70.92</v>
      </c>
      <c r="I382" s="6">
        <v>112.69</v>
      </c>
      <c r="J382" s="6">
        <v>1.07</v>
      </c>
      <c r="K382" s="6" t="s">
        <v>24</v>
      </c>
      <c r="L382" s="6" t="s">
        <v>61</v>
      </c>
      <c r="M382" s="6">
        <f t="shared" si="1"/>
        <v>283.68</v>
      </c>
      <c r="N382" s="6">
        <f t="shared" si="2"/>
        <v>445.936868</v>
      </c>
      <c r="O382" s="6">
        <f t="shared" si="3"/>
        <v>162.256868</v>
      </c>
      <c r="P382" s="7">
        <f t="shared" si="4"/>
        <v>0.3638561412</v>
      </c>
      <c r="Q382" s="6" t="s">
        <v>34</v>
      </c>
      <c r="R382" s="8">
        <f t="shared" si="5"/>
        <v>4.823132</v>
      </c>
    </row>
    <row r="383" ht="14.25" customHeight="1">
      <c r="A383" s="6" t="s">
        <v>1099</v>
      </c>
      <c r="B383" s="6" t="s">
        <v>497</v>
      </c>
      <c r="C383" s="6" t="s">
        <v>1100</v>
      </c>
      <c r="D383" s="6" t="s">
        <v>48</v>
      </c>
      <c r="E383" s="6" t="s">
        <v>59</v>
      </c>
      <c r="F383" s="6" t="s">
        <v>60</v>
      </c>
      <c r="G383" s="6">
        <v>2.0</v>
      </c>
      <c r="H383" s="6">
        <v>308.99</v>
      </c>
      <c r="I383" s="6">
        <v>504.12</v>
      </c>
      <c r="J383" s="6">
        <v>15.67</v>
      </c>
      <c r="K383" s="6" t="s">
        <v>24</v>
      </c>
      <c r="L383" s="6" t="s">
        <v>61</v>
      </c>
      <c r="M383" s="6">
        <f t="shared" si="1"/>
        <v>617.98</v>
      </c>
      <c r="N383" s="6">
        <f t="shared" si="2"/>
        <v>850.248792</v>
      </c>
      <c r="O383" s="6">
        <f t="shared" si="3"/>
        <v>232.268792</v>
      </c>
      <c r="P383" s="7">
        <f t="shared" si="4"/>
        <v>0.2731774443</v>
      </c>
      <c r="Q383" s="6" t="s">
        <v>49</v>
      </c>
      <c r="R383" s="8">
        <f t="shared" si="5"/>
        <v>157.991208</v>
      </c>
    </row>
    <row r="384" ht="14.25" customHeight="1">
      <c r="A384" s="6" t="s">
        <v>1101</v>
      </c>
      <c r="B384" s="6" t="s">
        <v>333</v>
      </c>
      <c r="C384" s="6" t="s">
        <v>1102</v>
      </c>
      <c r="D384" s="6" t="s">
        <v>48</v>
      </c>
      <c r="E384" s="6" t="s">
        <v>87</v>
      </c>
      <c r="F384" s="6" t="s">
        <v>88</v>
      </c>
      <c r="G384" s="6">
        <v>3.0</v>
      </c>
      <c r="H384" s="6">
        <v>279.75</v>
      </c>
      <c r="I384" s="6">
        <v>489.23</v>
      </c>
      <c r="J384" s="6">
        <v>20.75</v>
      </c>
      <c r="K384" s="6" t="s">
        <v>44</v>
      </c>
      <c r="L384" s="6" t="s">
        <v>33</v>
      </c>
      <c r="M384" s="6">
        <f t="shared" si="1"/>
        <v>839.25</v>
      </c>
      <c r="N384" s="6">
        <f t="shared" si="2"/>
        <v>1163.144325</v>
      </c>
      <c r="O384" s="6">
        <f t="shared" si="3"/>
        <v>323.894325</v>
      </c>
      <c r="P384" s="7">
        <f t="shared" si="4"/>
        <v>0.278464433</v>
      </c>
      <c r="Q384" s="6" t="s">
        <v>40</v>
      </c>
      <c r="R384" s="8">
        <f t="shared" si="5"/>
        <v>304.545675</v>
      </c>
    </row>
    <row r="385" ht="14.25" customHeight="1">
      <c r="A385" s="6" t="s">
        <v>1103</v>
      </c>
      <c r="B385" s="6" t="s">
        <v>690</v>
      </c>
      <c r="C385" s="6" t="s">
        <v>1104</v>
      </c>
      <c r="D385" s="6" t="s">
        <v>21</v>
      </c>
      <c r="E385" s="6" t="s">
        <v>104</v>
      </c>
      <c r="F385" s="6" t="s">
        <v>105</v>
      </c>
      <c r="G385" s="6">
        <v>3.0</v>
      </c>
      <c r="H385" s="6">
        <v>207.2</v>
      </c>
      <c r="I385" s="6">
        <v>309.78</v>
      </c>
      <c r="J385" s="6">
        <v>22.43</v>
      </c>
      <c r="K385" s="6" t="s">
        <v>44</v>
      </c>
      <c r="L385" s="6" t="s">
        <v>25</v>
      </c>
      <c r="M385" s="6">
        <f t="shared" si="1"/>
        <v>621.6</v>
      </c>
      <c r="N385" s="6">
        <f t="shared" si="2"/>
        <v>720.889038</v>
      </c>
      <c r="O385" s="6">
        <f t="shared" si="3"/>
        <v>99.289038</v>
      </c>
      <c r="P385" s="7">
        <f t="shared" si="4"/>
        <v>0.1377313744</v>
      </c>
      <c r="Q385" s="6" t="s">
        <v>40</v>
      </c>
      <c r="R385" s="8">
        <f t="shared" si="5"/>
        <v>208.450962</v>
      </c>
    </row>
    <row r="386" ht="14.25" customHeight="1">
      <c r="A386" s="6" t="s">
        <v>1105</v>
      </c>
      <c r="B386" s="6" t="s">
        <v>1043</v>
      </c>
      <c r="C386" s="6" t="s">
        <v>1106</v>
      </c>
      <c r="D386" s="6" t="s">
        <v>48</v>
      </c>
      <c r="E386" s="6" t="s">
        <v>104</v>
      </c>
      <c r="F386" s="6" t="s">
        <v>105</v>
      </c>
      <c r="G386" s="6">
        <v>3.0</v>
      </c>
      <c r="H386" s="6">
        <v>370.29</v>
      </c>
      <c r="I386" s="6">
        <v>469.97</v>
      </c>
      <c r="J386" s="6">
        <v>14.08</v>
      </c>
      <c r="K386" s="6" t="s">
        <v>44</v>
      </c>
      <c r="L386" s="6" t="s">
        <v>33</v>
      </c>
      <c r="M386" s="6">
        <f t="shared" si="1"/>
        <v>1110.87</v>
      </c>
      <c r="N386" s="6">
        <f t="shared" si="2"/>
        <v>1211.394672</v>
      </c>
      <c r="O386" s="6">
        <f t="shared" si="3"/>
        <v>100.524672</v>
      </c>
      <c r="P386" s="7">
        <f t="shared" si="4"/>
        <v>0.0829825938</v>
      </c>
      <c r="Q386" s="6" t="s">
        <v>34</v>
      </c>
      <c r="R386" s="8">
        <f t="shared" si="5"/>
        <v>198.515328</v>
      </c>
    </row>
    <row r="387" ht="14.25" customHeight="1">
      <c r="A387" s="6" t="s">
        <v>1107</v>
      </c>
      <c r="B387" s="6" t="s">
        <v>1108</v>
      </c>
      <c r="C387" s="6" t="s">
        <v>1109</v>
      </c>
      <c r="D387" s="6" t="s">
        <v>70</v>
      </c>
      <c r="E387" s="6" t="s">
        <v>22</v>
      </c>
      <c r="F387" s="6" t="s">
        <v>23</v>
      </c>
      <c r="G387" s="6">
        <v>1.0</v>
      </c>
      <c r="H387" s="6">
        <v>232.96</v>
      </c>
      <c r="I387" s="6">
        <v>406.01</v>
      </c>
      <c r="J387" s="6">
        <v>15.74</v>
      </c>
      <c r="K387" s="6" t="s">
        <v>24</v>
      </c>
      <c r="L387" s="6" t="s">
        <v>25</v>
      </c>
      <c r="M387" s="6">
        <f t="shared" si="1"/>
        <v>232.96</v>
      </c>
      <c r="N387" s="6">
        <f t="shared" si="2"/>
        <v>342.104026</v>
      </c>
      <c r="O387" s="6">
        <f t="shared" si="3"/>
        <v>109.144026</v>
      </c>
      <c r="P387" s="7">
        <f t="shared" si="4"/>
        <v>0.3190375374</v>
      </c>
      <c r="Q387" s="6" t="s">
        <v>76</v>
      </c>
      <c r="R387" s="8">
        <f t="shared" si="5"/>
        <v>63.905974</v>
      </c>
    </row>
    <row r="388" ht="14.25" customHeight="1">
      <c r="A388" s="6" t="s">
        <v>1110</v>
      </c>
      <c r="B388" s="6" t="s">
        <v>1111</v>
      </c>
      <c r="C388" s="6" t="s">
        <v>1112</v>
      </c>
      <c r="D388" s="6" t="s">
        <v>21</v>
      </c>
      <c r="E388" s="6" t="s">
        <v>38</v>
      </c>
      <c r="F388" s="6" t="s">
        <v>71</v>
      </c>
      <c r="G388" s="6">
        <v>6.0</v>
      </c>
      <c r="H388" s="6">
        <v>408.93</v>
      </c>
      <c r="I388" s="6">
        <v>560.49</v>
      </c>
      <c r="J388" s="6">
        <v>18.68</v>
      </c>
      <c r="K388" s="6" t="s">
        <v>24</v>
      </c>
      <c r="L388" s="6" t="s">
        <v>55</v>
      </c>
      <c r="M388" s="6">
        <f t="shared" si="1"/>
        <v>2453.58</v>
      </c>
      <c r="N388" s="6">
        <f t="shared" si="2"/>
        <v>2734.742808</v>
      </c>
      <c r="O388" s="6">
        <f t="shared" si="3"/>
        <v>281.162808</v>
      </c>
      <c r="P388" s="7">
        <f t="shared" si="4"/>
        <v>0.1028114261</v>
      </c>
      <c r="Q388" s="6" t="s">
        <v>76</v>
      </c>
      <c r="R388" s="8">
        <f t="shared" si="5"/>
        <v>628.197192</v>
      </c>
    </row>
    <row r="389" ht="14.25" customHeight="1">
      <c r="A389" s="6" t="s">
        <v>1113</v>
      </c>
      <c r="B389" s="6" t="s">
        <v>136</v>
      </c>
      <c r="C389" s="6" t="s">
        <v>1114</v>
      </c>
      <c r="D389" s="6" t="s">
        <v>48</v>
      </c>
      <c r="E389" s="6" t="s">
        <v>31</v>
      </c>
      <c r="F389" s="6" t="s">
        <v>32</v>
      </c>
      <c r="G389" s="6">
        <v>2.0</v>
      </c>
      <c r="H389" s="6">
        <v>108.63</v>
      </c>
      <c r="I389" s="6">
        <v>174.04</v>
      </c>
      <c r="J389" s="6">
        <v>9.49</v>
      </c>
      <c r="K389" s="6" t="s">
        <v>44</v>
      </c>
      <c r="L389" s="6" t="s">
        <v>61</v>
      </c>
      <c r="M389" s="6">
        <f t="shared" si="1"/>
        <v>217.26</v>
      </c>
      <c r="N389" s="6">
        <f t="shared" si="2"/>
        <v>315.047208</v>
      </c>
      <c r="O389" s="6">
        <f t="shared" si="3"/>
        <v>97.787208</v>
      </c>
      <c r="P389" s="7">
        <f t="shared" si="4"/>
        <v>0.310389064</v>
      </c>
      <c r="Q389" s="6" t="s">
        <v>49</v>
      </c>
      <c r="R389" s="8">
        <f t="shared" si="5"/>
        <v>33.032792</v>
      </c>
    </row>
    <row r="390" ht="14.25" customHeight="1">
      <c r="A390" s="6" t="s">
        <v>1115</v>
      </c>
      <c r="B390" s="6" t="s">
        <v>1116</v>
      </c>
      <c r="C390" s="6" t="s">
        <v>1117</v>
      </c>
      <c r="D390" s="6" t="s">
        <v>21</v>
      </c>
      <c r="E390" s="6" t="s">
        <v>38</v>
      </c>
      <c r="F390" s="6" t="s">
        <v>71</v>
      </c>
      <c r="G390" s="6">
        <v>5.0</v>
      </c>
      <c r="H390" s="6">
        <v>48.77</v>
      </c>
      <c r="I390" s="6">
        <v>94.27</v>
      </c>
      <c r="J390" s="6">
        <v>21.35</v>
      </c>
      <c r="K390" s="6" t="s">
        <v>44</v>
      </c>
      <c r="L390" s="6" t="s">
        <v>33</v>
      </c>
      <c r="M390" s="6">
        <f t="shared" si="1"/>
        <v>243.85</v>
      </c>
      <c r="N390" s="6">
        <f t="shared" si="2"/>
        <v>370.716775</v>
      </c>
      <c r="O390" s="6">
        <f t="shared" si="3"/>
        <v>126.866775</v>
      </c>
      <c r="P390" s="7">
        <f t="shared" si="4"/>
        <v>0.3422202165</v>
      </c>
      <c r="Q390" s="6" t="s">
        <v>40</v>
      </c>
      <c r="R390" s="8">
        <f t="shared" si="5"/>
        <v>100.633225</v>
      </c>
    </row>
    <row r="391" ht="14.25" customHeight="1">
      <c r="A391" s="6" t="s">
        <v>1118</v>
      </c>
      <c r="B391" s="6" t="s">
        <v>1119</v>
      </c>
      <c r="C391" s="6" t="s">
        <v>1120</v>
      </c>
      <c r="D391" s="6" t="s">
        <v>83</v>
      </c>
      <c r="E391" s="6" t="s">
        <v>65</v>
      </c>
      <c r="F391" s="6" t="s">
        <v>75</v>
      </c>
      <c r="G391" s="6">
        <v>8.0</v>
      </c>
      <c r="H391" s="6">
        <v>181.41</v>
      </c>
      <c r="I391" s="6">
        <v>278.68</v>
      </c>
      <c r="J391" s="6">
        <v>5.17</v>
      </c>
      <c r="K391" s="6" t="s">
        <v>44</v>
      </c>
      <c r="L391" s="6" t="s">
        <v>61</v>
      </c>
      <c r="M391" s="6">
        <f t="shared" si="1"/>
        <v>1451.28</v>
      </c>
      <c r="N391" s="6">
        <f t="shared" si="2"/>
        <v>2114.177952</v>
      </c>
      <c r="O391" s="6">
        <f t="shared" si="3"/>
        <v>662.897952</v>
      </c>
      <c r="P391" s="7">
        <f t="shared" si="4"/>
        <v>0.3135487963</v>
      </c>
      <c r="Q391" s="6" t="s">
        <v>76</v>
      </c>
      <c r="R391" s="8">
        <f t="shared" si="5"/>
        <v>115.262048</v>
      </c>
    </row>
    <row r="392" ht="14.25" customHeight="1">
      <c r="A392" s="6" t="s">
        <v>1121</v>
      </c>
      <c r="B392" s="6" t="s">
        <v>116</v>
      </c>
      <c r="C392" s="6" t="s">
        <v>1122</v>
      </c>
      <c r="D392" s="6" t="s">
        <v>64</v>
      </c>
      <c r="E392" s="6" t="s">
        <v>38</v>
      </c>
      <c r="F392" s="6" t="s">
        <v>71</v>
      </c>
      <c r="G392" s="6">
        <v>5.0</v>
      </c>
      <c r="H392" s="6">
        <v>447.14</v>
      </c>
      <c r="I392" s="6">
        <v>598.36</v>
      </c>
      <c r="J392" s="6">
        <v>11.96</v>
      </c>
      <c r="K392" s="6" t="s">
        <v>24</v>
      </c>
      <c r="L392" s="6" t="s">
        <v>61</v>
      </c>
      <c r="M392" s="6">
        <f t="shared" si="1"/>
        <v>2235.7</v>
      </c>
      <c r="N392" s="6">
        <f t="shared" si="2"/>
        <v>2633.98072</v>
      </c>
      <c r="O392" s="6">
        <f t="shared" si="3"/>
        <v>398.28072</v>
      </c>
      <c r="P392" s="7">
        <f t="shared" si="4"/>
        <v>0.1512086694</v>
      </c>
      <c r="Q392" s="6" t="s">
        <v>49</v>
      </c>
      <c r="R392" s="8">
        <f t="shared" si="5"/>
        <v>357.81928</v>
      </c>
    </row>
    <row r="393" ht="14.25" customHeight="1">
      <c r="A393" s="6" t="s">
        <v>1123</v>
      </c>
      <c r="B393" s="6" t="s">
        <v>1124</v>
      </c>
      <c r="C393" s="6" t="s">
        <v>1125</v>
      </c>
      <c r="D393" s="6" t="s">
        <v>48</v>
      </c>
      <c r="E393" s="6" t="s">
        <v>38</v>
      </c>
      <c r="F393" s="6" t="s">
        <v>39</v>
      </c>
      <c r="G393" s="6">
        <v>1.0</v>
      </c>
      <c r="H393" s="6">
        <v>209.05</v>
      </c>
      <c r="I393" s="6">
        <v>402.09</v>
      </c>
      <c r="J393" s="6">
        <v>14.85</v>
      </c>
      <c r="K393" s="6" t="s">
        <v>44</v>
      </c>
      <c r="L393" s="6" t="s">
        <v>25</v>
      </c>
      <c r="M393" s="6">
        <f t="shared" si="1"/>
        <v>209.05</v>
      </c>
      <c r="N393" s="6">
        <f t="shared" si="2"/>
        <v>342.379635</v>
      </c>
      <c r="O393" s="6">
        <f t="shared" si="3"/>
        <v>133.329635</v>
      </c>
      <c r="P393" s="7">
        <f t="shared" si="4"/>
        <v>0.3894204601</v>
      </c>
      <c r="Q393" s="6" t="s">
        <v>49</v>
      </c>
      <c r="R393" s="8">
        <f t="shared" si="5"/>
        <v>59.710365</v>
      </c>
    </row>
    <row r="394" ht="14.25" customHeight="1">
      <c r="A394" s="6" t="s">
        <v>1126</v>
      </c>
      <c r="B394" s="6" t="s">
        <v>1127</v>
      </c>
      <c r="C394" s="6" t="s">
        <v>1128</v>
      </c>
      <c r="D394" s="6" t="s">
        <v>64</v>
      </c>
      <c r="E394" s="6" t="s">
        <v>38</v>
      </c>
      <c r="F394" s="6" t="s">
        <v>39</v>
      </c>
      <c r="G394" s="6">
        <v>2.0</v>
      </c>
      <c r="H394" s="6">
        <v>136.33</v>
      </c>
      <c r="I394" s="6">
        <v>177.84</v>
      </c>
      <c r="J394" s="6">
        <v>18.11</v>
      </c>
      <c r="K394" s="6" t="s">
        <v>44</v>
      </c>
      <c r="L394" s="6" t="s">
        <v>55</v>
      </c>
      <c r="M394" s="6">
        <f t="shared" si="1"/>
        <v>272.66</v>
      </c>
      <c r="N394" s="6">
        <f t="shared" si="2"/>
        <v>291.266352</v>
      </c>
      <c r="O394" s="6">
        <f t="shared" si="3"/>
        <v>18.606352</v>
      </c>
      <c r="P394" s="7">
        <f t="shared" si="4"/>
        <v>0.06388088384</v>
      </c>
      <c r="Q394" s="6" t="s">
        <v>40</v>
      </c>
      <c r="R394" s="8">
        <f t="shared" si="5"/>
        <v>64.413648</v>
      </c>
    </row>
    <row r="395" ht="14.25" customHeight="1">
      <c r="A395" s="6" t="s">
        <v>1129</v>
      </c>
      <c r="B395" s="6" t="s">
        <v>214</v>
      </c>
      <c r="C395" s="6" t="s">
        <v>1130</v>
      </c>
      <c r="D395" s="6" t="s">
        <v>64</v>
      </c>
      <c r="E395" s="6" t="s">
        <v>104</v>
      </c>
      <c r="F395" s="6" t="s">
        <v>105</v>
      </c>
      <c r="G395" s="6">
        <v>4.0</v>
      </c>
      <c r="H395" s="6">
        <v>106.94</v>
      </c>
      <c r="I395" s="6">
        <v>145.63</v>
      </c>
      <c r="J395" s="6">
        <v>14.1</v>
      </c>
      <c r="K395" s="6" t="s">
        <v>24</v>
      </c>
      <c r="L395" s="6" t="s">
        <v>55</v>
      </c>
      <c r="M395" s="6">
        <f t="shared" si="1"/>
        <v>427.76</v>
      </c>
      <c r="N395" s="6">
        <f t="shared" si="2"/>
        <v>500.38468</v>
      </c>
      <c r="O395" s="6">
        <f t="shared" si="3"/>
        <v>72.62468</v>
      </c>
      <c r="P395" s="7">
        <f t="shared" si="4"/>
        <v>0.1451376969</v>
      </c>
      <c r="Q395" s="6" t="s">
        <v>76</v>
      </c>
      <c r="R395" s="8">
        <f t="shared" si="5"/>
        <v>82.13532</v>
      </c>
    </row>
    <row r="396" ht="14.25" customHeight="1">
      <c r="A396" s="6" t="s">
        <v>1131</v>
      </c>
      <c r="B396" s="6" t="s">
        <v>223</v>
      </c>
      <c r="C396" s="6" t="s">
        <v>1132</v>
      </c>
      <c r="D396" s="6" t="s">
        <v>64</v>
      </c>
      <c r="E396" s="6" t="s">
        <v>38</v>
      </c>
      <c r="F396" s="6" t="s">
        <v>71</v>
      </c>
      <c r="G396" s="6">
        <v>5.0</v>
      </c>
      <c r="H396" s="6">
        <v>262.96</v>
      </c>
      <c r="I396" s="6">
        <v>417.97</v>
      </c>
      <c r="J396" s="6">
        <v>1.68</v>
      </c>
      <c r="K396" s="6" t="s">
        <v>24</v>
      </c>
      <c r="L396" s="6" t="s">
        <v>61</v>
      </c>
      <c r="M396" s="6">
        <f t="shared" si="1"/>
        <v>1314.8</v>
      </c>
      <c r="N396" s="6">
        <f t="shared" si="2"/>
        <v>2054.74052</v>
      </c>
      <c r="O396" s="6">
        <f t="shared" si="3"/>
        <v>739.94052</v>
      </c>
      <c r="P396" s="7">
        <f t="shared" si="4"/>
        <v>0.3601138503</v>
      </c>
      <c r="Q396" s="6" t="s">
        <v>49</v>
      </c>
      <c r="R396" s="8">
        <f t="shared" si="5"/>
        <v>35.10948</v>
      </c>
    </row>
    <row r="397" ht="14.25" customHeight="1">
      <c r="A397" s="6" t="s">
        <v>1133</v>
      </c>
      <c r="B397" s="6" t="s">
        <v>1134</v>
      </c>
      <c r="C397" s="6" t="s">
        <v>1135</v>
      </c>
      <c r="D397" s="6" t="s">
        <v>30</v>
      </c>
      <c r="E397" s="6" t="s">
        <v>31</v>
      </c>
      <c r="F397" s="6" t="s">
        <v>32</v>
      </c>
      <c r="G397" s="6">
        <v>5.0</v>
      </c>
      <c r="H397" s="6">
        <v>87.92</v>
      </c>
      <c r="I397" s="6">
        <v>171.29</v>
      </c>
      <c r="J397" s="6">
        <v>1.4</v>
      </c>
      <c r="K397" s="6" t="s">
        <v>24</v>
      </c>
      <c r="L397" s="6" t="s">
        <v>25</v>
      </c>
      <c r="M397" s="6">
        <f t="shared" si="1"/>
        <v>439.6</v>
      </c>
      <c r="N397" s="6">
        <f t="shared" si="2"/>
        <v>844.4597</v>
      </c>
      <c r="O397" s="6">
        <f t="shared" si="3"/>
        <v>404.8597</v>
      </c>
      <c r="P397" s="7">
        <f t="shared" si="4"/>
        <v>0.4794304571</v>
      </c>
      <c r="Q397" s="6" t="s">
        <v>40</v>
      </c>
      <c r="R397" s="8">
        <f t="shared" si="5"/>
        <v>11.9903</v>
      </c>
    </row>
    <row r="398" ht="14.25" customHeight="1">
      <c r="A398" s="6" t="s">
        <v>1136</v>
      </c>
      <c r="B398" s="6" t="s">
        <v>263</v>
      </c>
      <c r="C398" s="6" t="s">
        <v>1137</v>
      </c>
      <c r="D398" s="6" t="s">
        <v>70</v>
      </c>
      <c r="E398" s="6" t="s">
        <v>31</v>
      </c>
      <c r="F398" s="6" t="s">
        <v>32</v>
      </c>
      <c r="G398" s="6">
        <v>2.0</v>
      </c>
      <c r="H398" s="6">
        <v>135.71</v>
      </c>
      <c r="I398" s="6">
        <v>214.07</v>
      </c>
      <c r="J398" s="6">
        <v>19.72</v>
      </c>
      <c r="K398" s="6" t="s">
        <v>44</v>
      </c>
      <c r="L398" s="6" t="s">
        <v>55</v>
      </c>
      <c r="M398" s="6">
        <f t="shared" si="1"/>
        <v>271.42</v>
      </c>
      <c r="N398" s="6">
        <f t="shared" si="2"/>
        <v>343.710792</v>
      </c>
      <c r="O398" s="6">
        <f t="shared" si="3"/>
        <v>72.290792</v>
      </c>
      <c r="P398" s="7">
        <f t="shared" si="4"/>
        <v>0.2103244754</v>
      </c>
      <c r="Q398" s="6" t="s">
        <v>34</v>
      </c>
      <c r="R398" s="8">
        <f t="shared" si="5"/>
        <v>84.429208</v>
      </c>
    </row>
    <row r="399" ht="14.25" customHeight="1">
      <c r="A399" s="6" t="s">
        <v>1138</v>
      </c>
      <c r="B399" s="6" t="s">
        <v>1139</v>
      </c>
      <c r="C399" s="6" t="s">
        <v>1137</v>
      </c>
      <c r="D399" s="6" t="s">
        <v>64</v>
      </c>
      <c r="E399" s="6" t="s">
        <v>38</v>
      </c>
      <c r="F399" s="6" t="s">
        <v>39</v>
      </c>
      <c r="G399" s="6">
        <v>3.0</v>
      </c>
      <c r="H399" s="6">
        <v>233.97</v>
      </c>
      <c r="I399" s="6">
        <v>432.56</v>
      </c>
      <c r="J399" s="6">
        <v>0.62</v>
      </c>
      <c r="K399" s="6" t="s">
        <v>24</v>
      </c>
      <c r="L399" s="6" t="s">
        <v>25</v>
      </c>
      <c r="M399" s="6">
        <f t="shared" si="1"/>
        <v>701.91</v>
      </c>
      <c r="N399" s="6">
        <f t="shared" si="2"/>
        <v>1289.634384</v>
      </c>
      <c r="O399" s="6">
        <f t="shared" si="3"/>
        <v>587.724384</v>
      </c>
      <c r="P399" s="7">
        <f t="shared" si="4"/>
        <v>0.455729462</v>
      </c>
      <c r="Q399" s="6" t="s">
        <v>40</v>
      </c>
      <c r="R399" s="8">
        <f t="shared" si="5"/>
        <v>8.045616</v>
      </c>
    </row>
    <row r="400" ht="14.25" customHeight="1">
      <c r="A400" s="6" t="s">
        <v>1140</v>
      </c>
      <c r="B400" s="6" t="s">
        <v>1141</v>
      </c>
      <c r="C400" s="6" t="s">
        <v>1142</v>
      </c>
      <c r="D400" s="6" t="s">
        <v>64</v>
      </c>
      <c r="E400" s="6" t="s">
        <v>38</v>
      </c>
      <c r="F400" s="6" t="s">
        <v>71</v>
      </c>
      <c r="G400" s="6">
        <v>1.0</v>
      </c>
      <c r="H400" s="6">
        <v>75.84</v>
      </c>
      <c r="I400" s="6">
        <v>131.28</v>
      </c>
      <c r="J400" s="6">
        <v>18.67</v>
      </c>
      <c r="K400" s="6" t="s">
        <v>24</v>
      </c>
      <c r="L400" s="6" t="s">
        <v>61</v>
      </c>
      <c r="M400" s="6">
        <f t="shared" si="1"/>
        <v>75.84</v>
      </c>
      <c r="N400" s="6">
        <f t="shared" si="2"/>
        <v>106.770024</v>
      </c>
      <c r="O400" s="6">
        <f t="shared" si="3"/>
        <v>30.930024</v>
      </c>
      <c r="P400" s="7">
        <f t="shared" si="4"/>
        <v>0.2896882743</v>
      </c>
      <c r="Q400" s="6" t="s">
        <v>34</v>
      </c>
      <c r="R400" s="8">
        <f t="shared" si="5"/>
        <v>24.509976</v>
      </c>
    </row>
    <row r="401" ht="14.25" customHeight="1">
      <c r="A401" s="6" t="s">
        <v>1143</v>
      </c>
      <c r="B401" s="6" t="s">
        <v>1144</v>
      </c>
      <c r="C401" s="6" t="s">
        <v>1145</v>
      </c>
      <c r="D401" s="6" t="s">
        <v>21</v>
      </c>
      <c r="E401" s="6" t="s">
        <v>22</v>
      </c>
      <c r="F401" s="6" t="s">
        <v>23</v>
      </c>
      <c r="G401" s="6">
        <v>3.0</v>
      </c>
      <c r="H401" s="6">
        <v>203.83</v>
      </c>
      <c r="I401" s="6">
        <v>296.28</v>
      </c>
      <c r="J401" s="6">
        <v>2.3</v>
      </c>
      <c r="K401" s="6" t="s">
        <v>24</v>
      </c>
      <c r="L401" s="6" t="s">
        <v>55</v>
      </c>
      <c r="M401" s="6">
        <f t="shared" si="1"/>
        <v>611.49</v>
      </c>
      <c r="N401" s="6">
        <f t="shared" si="2"/>
        <v>868.39668</v>
      </c>
      <c r="O401" s="6">
        <f t="shared" si="3"/>
        <v>256.90668</v>
      </c>
      <c r="P401" s="7">
        <f t="shared" si="4"/>
        <v>0.2958402374</v>
      </c>
      <c r="Q401" s="6" t="s">
        <v>40</v>
      </c>
      <c r="R401" s="8">
        <f t="shared" si="5"/>
        <v>20.44332</v>
      </c>
    </row>
    <row r="402" ht="14.25" customHeight="1">
      <c r="A402" s="6" t="s">
        <v>1146</v>
      </c>
      <c r="B402" s="6" t="s">
        <v>1147</v>
      </c>
      <c r="C402" s="6" t="s">
        <v>1148</v>
      </c>
      <c r="D402" s="6" t="s">
        <v>70</v>
      </c>
      <c r="E402" s="6" t="s">
        <v>65</v>
      </c>
      <c r="F402" s="6" t="s">
        <v>66</v>
      </c>
      <c r="G402" s="6">
        <v>4.0</v>
      </c>
      <c r="H402" s="6">
        <v>175.9</v>
      </c>
      <c r="I402" s="6">
        <v>272.77</v>
      </c>
      <c r="J402" s="6">
        <v>14.06</v>
      </c>
      <c r="K402" s="6" t="s">
        <v>44</v>
      </c>
      <c r="L402" s="6" t="s">
        <v>25</v>
      </c>
      <c r="M402" s="6">
        <f t="shared" si="1"/>
        <v>703.6</v>
      </c>
      <c r="N402" s="6">
        <f t="shared" si="2"/>
        <v>937.674152</v>
      </c>
      <c r="O402" s="6">
        <f t="shared" si="3"/>
        <v>234.074152</v>
      </c>
      <c r="P402" s="7">
        <f t="shared" si="4"/>
        <v>0.2496327232</v>
      </c>
      <c r="Q402" s="6" t="s">
        <v>40</v>
      </c>
      <c r="R402" s="8">
        <f t="shared" si="5"/>
        <v>153.405848</v>
      </c>
    </row>
    <row r="403" ht="14.25" customHeight="1">
      <c r="A403" s="6" t="s">
        <v>1149</v>
      </c>
      <c r="B403" s="6" t="s">
        <v>1150</v>
      </c>
      <c r="C403" s="6" t="s">
        <v>1151</v>
      </c>
      <c r="D403" s="6" t="s">
        <v>21</v>
      </c>
      <c r="E403" s="6" t="s">
        <v>38</v>
      </c>
      <c r="F403" s="6" t="s">
        <v>71</v>
      </c>
      <c r="G403" s="6">
        <v>3.0</v>
      </c>
      <c r="H403" s="6">
        <v>74.67</v>
      </c>
      <c r="I403" s="6">
        <v>143.16</v>
      </c>
      <c r="J403" s="6">
        <v>19.52</v>
      </c>
      <c r="K403" s="6" t="s">
        <v>44</v>
      </c>
      <c r="L403" s="6" t="s">
        <v>61</v>
      </c>
      <c r="M403" s="6">
        <f t="shared" si="1"/>
        <v>224.01</v>
      </c>
      <c r="N403" s="6">
        <f t="shared" si="2"/>
        <v>345.645504</v>
      </c>
      <c r="O403" s="6">
        <f t="shared" si="3"/>
        <v>121.635504</v>
      </c>
      <c r="P403" s="7">
        <f t="shared" si="4"/>
        <v>0.3519082487</v>
      </c>
      <c r="Q403" s="6" t="s">
        <v>40</v>
      </c>
      <c r="R403" s="8">
        <f t="shared" si="5"/>
        <v>83.834496</v>
      </c>
    </row>
    <row r="404" ht="14.25" customHeight="1">
      <c r="A404" s="6" t="s">
        <v>1152</v>
      </c>
      <c r="B404" s="6" t="s">
        <v>1153</v>
      </c>
      <c r="C404" s="6" t="s">
        <v>1154</v>
      </c>
      <c r="D404" s="6" t="s">
        <v>83</v>
      </c>
      <c r="E404" s="6" t="s">
        <v>38</v>
      </c>
      <c r="F404" s="6" t="s">
        <v>71</v>
      </c>
      <c r="G404" s="6">
        <v>6.0</v>
      </c>
      <c r="H404" s="6">
        <v>426.95</v>
      </c>
      <c r="I404" s="6">
        <v>552.81</v>
      </c>
      <c r="J404" s="6">
        <v>3.66</v>
      </c>
      <c r="K404" s="6" t="s">
        <v>44</v>
      </c>
      <c r="L404" s="6" t="s">
        <v>25</v>
      </c>
      <c r="M404" s="6">
        <f t="shared" si="1"/>
        <v>2561.7</v>
      </c>
      <c r="N404" s="6">
        <f t="shared" si="2"/>
        <v>3195.462924</v>
      </c>
      <c r="O404" s="6">
        <f t="shared" si="3"/>
        <v>633.762924</v>
      </c>
      <c r="P404" s="7">
        <f t="shared" si="4"/>
        <v>0.1983321162</v>
      </c>
      <c r="Q404" s="6" t="s">
        <v>34</v>
      </c>
      <c r="R404" s="8">
        <f t="shared" si="5"/>
        <v>121.397076</v>
      </c>
    </row>
    <row r="405" ht="14.25" customHeight="1">
      <c r="A405" s="6" t="s">
        <v>1155</v>
      </c>
      <c r="B405" s="6" t="s">
        <v>991</v>
      </c>
      <c r="C405" s="6" t="s">
        <v>1156</v>
      </c>
      <c r="D405" s="6" t="s">
        <v>70</v>
      </c>
      <c r="E405" s="6" t="s">
        <v>38</v>
      </c>
      <c r="F405" s="6" t="s">
        <v>39</v>
      </c>
      <c r="G405" s="6">
        <v>2.0</v>
      </c>
      <c r="H405" s="6">
        <v>149.45</v>
      </c>
      <c r="I405" s="6">
        <v>202.08</v>
      </c>
      <c r="J405" s="6">
        <v>7.18</v>
      </c>
      <c r="K405" s="6" t="s">
        <v>44</v>
      </c>
      <c r="L405" s="6" t="s">
        <v>61</v>
      </c>
      <c r="M405" s="6">
        <f t="shared" si="1"/>
        <v>298.9</v>
      </c>
      <c r="N405" s="6">
        <f t="shared" si="2"/>
        <v>375.141312</v>
      </c>
      <c r="O405" s="6">
        <f t="shared" si="3"/>
        <v>76.241312</v>
      </c>
      <c r="P405" s="7">
        <f t="shared" si="4"/>
        <v>0.2032335804</v>
      </c>
      <c r="Q405" s="6" t="s">
        <v>49</v>
      </c>
      <c r="R405" s="8">
        <f t="shared" si="5"/>
        <v>29.018688</v>
      </c>
    </row>
    <row r="406" ht="14.25" customHeight="1">
      <c r="A406" s="6" t="s">
        <v>1157</v>
      </c>
      <c r="B406" s="6" t="s">
        <v>1158</v>
      </c>
      <c r="C406" s="6" t="s">
        <v>1159</v>
      </c>
      <c r="D406" s="6" t="s">
        <v>83</v>
      </c>
      <c r="E406" s="6" t="s">
        <v>53</v>
      </c>
      <c r="F406" s="6" t="s">
        <v>54</v>
      </c>
      <c r="G406" s="6">
        <v>7.0</v>
      </c>
      <c r="H406" s="6">
        <v>273.74</v>
      </c>
      <c r="I406" s="6">
        <v>521.43</v>
      </c>
      <c r="J406" s="6">
        <v>4.05</v>
      </c>
      <c r="K406" s="6" t="s">
        <v>24</v>
      </c>
      <c r="L406" s="6" t="s">
        <v>55</v>
      </c>
      <c r="M406" s="6">
        <f t="shared" si="1"/>
        <v>1916.18</v>
      </c>
      <c r="N406" s="6">
        <f t="shared" si="2"/>
        <v>3502.184595</v>
      </c>
      <c r="O406" s="6">
        <f t="shared" si="3"/>
        <v>1586.004595</v>
      </c>
      <c r="P406" s="7">
        <f t="shared" si="4"/>
        <v>0.4528615074</v>
      </c>
      <c r="Q406" s="6" t="s">
        <v>40</v>
      </c>
      <c r="R406" s="8">
        <f t="shared" si="5"/>
        <v>147.825405</v>
      </c>
    </row>
    <row r="407" ht="14.25" customHeight="1">
      <c r="A407" s="6" t="s">
        <v>1160</v>
      </c>
      <c r="B407" s="6" t="s">
        <v>1161</v>
      </c>
      <c r="C407" s="6" t="s">
        <v>1162</v>
      </c>
      <c r="D407" s="6" t="s">
        <v>21</v>
      </c>
      <c r="E407" s="6" t="s">
        <v>87</v>
      </c>
      <c r="F407" s="6" t="s">
        <v>88</v>
      </c>
      <c r="G407" s="6">
        <v>3.0</v>
      </c>
      <c r="H407" s="6">
        <v>470.65</v>
      </c>
      <c r="I407" s="6">
        <v>573.0</v>
      </c>
      <c r="J407" s="6">
        <v>10.08</v>
      </c>
      <c r="K407" s="6" t="s">
        <v>44</v>
      </c>
      <c r="L407" s="6" t="s">
        <v>33</v>
      </c>
      <c r="M407" s="6">
        <f t="shared" si="1"/>
        <v>1411.95</v>
      </c>
      <c r="N407" s="6">
        <f t="shared" si="2"/>
        <v>1545.7248</v>
      </c>
      <c r="O407" s="6">
        <f t="shared" si="3"/>
        <v>133.7748</v>
      </c>
      <c r="P407" s="7">
        <f t="shared" si="4"/>
        <v>0.08654503053</v>
      </c>
      <c r="Q407" s="6" t="s">
        <v>49</v>
      </c>
      <c r="R407" s="8">
        <f t="shared" si="5"/>
        <v>173.2752</v>
      </c>
    </row>
    <row r="408" ht="14.25" customHeight="1">
      <c r="A408" s="6" t="s">
        <v>1163</v>
      </c>
      <c r="B408" s="6" t="s">
        <v>107</v>
      </c>
      <c r="C408" s="6" t="s">
        <v>1164</v>
      </c>
      <c r="D408" s="6" t="s">
        <v>83</v>
      </c>
      <c r="E408" s="6" t="s">
        <v>65</v>
      </c>
      <c r="F408" s="6" t="s">
        <v>66</v>
      </c>
      <c r="G408" s="6">
        <v>8.0</v>
      </c>
      <c r="H408" s="6">
        <v>203.51</v>
      </c>
      <c r="I408" s="6">
        <v>341.16</v>
      </c>
      <c r="J408" s="6">
        <v>10.69</v>
      </c>
      <c r="K408" s="6" t="s">
        <v>44</v>
      </c>
      <c r="L408" s="6" t="s">
        <v>55</v>
      </c>
      <c r="M408" s="6">
        <f t="shared" si="1"/>
        <v>1628.08</v>
      </c>
      <c r="N408" s="6">
        <f t="shared" si="2"/>
        <v>2437.519968</v>
      </c>
      <c r="O408" s="6">
        <f t="shared" si="3"/>
        <v>809.439968</v>
      </c>
      <c r="P408" s="7">
        <f t="shared" si="4"/>
        <v>0.3320752152</v>
      </c>
      <c r="Q408" s="6" t="s">
        <v>34</v>
      </c>
      <c r="R408" s="8">
        <f t="shared" si="5"/>
        <v>291.760032</v>
      </c>
    </row>
    <row r="409" ht="14.25" customHeight="1">
      <c r="A409" s="6" t="s">
        <v>1165</v>
      </c>
      <c r="B409" s="6" t="s">
        <v>473</v>
      </c>
      <c r="C409" s="6" t="s">
        <v>1166</v>
      </c>
      <c r="D409" s="6" t="s">
        <v>21</v>
      </c>
      <c r="E409" s="6" t="s">
        <v>65</v>
      </c>
      <c r="F409" s="6" t="s">
        <v>75</v>
      </c>
      <c r="G409" s="6">
        <v>8.0</v>
      </c>
      <c r="H409" s="6">
        <v>297.09</v>
      </c>
      <c r="I409" s="6">
        <v>430.22</v>
      </c>
      <c r="J409" s="6">
        <v>13.3</v>
      </c>
      <c r="K409" s="6" t="s">
        <v>24</v>
      </c>
      <c r="L409" s="6" t="s">
        <v>55</v>
      </c>
      <c r="M409" s="6">
        <f t="shared" si="1"/>
        <v>2376.72</v>
      </c>
      <c r="N409" s="6">
        <f t="shared" si="2"/>
        <v>2984.00592</v>
      </c>
      <c r="O409" s="6">
        <f t="shared" si="3"/>
        <v>607.28592</v>
      </c>
      <c r="P409" s="7">
        <f t="shared" si="4"/>
        <v>0.2035136445</v>
      </c>
      <c r="Q409" s="6" t="s">
        <v>76</v>
      </c>
      <c r="R409" s="8">
        <f t="shared" si="5"/>
        <v>457.75408</v>
      </c>
    </row>
    <row r="410" ht="14.25" customHeight="1">
      <c r="A410" s="6" t="s">
        <v>1167</v>
      </c>
      <c r="B410" s="6" t="s">
        <v>789</v>
      </c>
      <c r="C410" s="6" t="s">
        <v>1168</v>
      </c>
      <c r="D410" s="6" t="s">
        <v>64</v>
      </c>
      <c r="E410" s="6" t="s">
        <v>38</v>
      </c>
      <c r="F410" s="6" t="s">
        <v>39</v>
      </c>
      <c r="G410" s="6">
        <v>8.0</v>
      </c>
      <c r="H410" s="6">
        <v>97.3</v>
      </c>
      <c r="I410" s="6">
        <v>194.09</v>
      </c>
      <c r="J410" s="6">
        <v>5.58</v>
      </c>
      <c r="K410" s="6" t="s">
        <v>44</v>
      </c>
      <c r="L410" s="6" t="s">
        <v>33</v>
      </c>
      <c r="M410" s="6">
        <f t="shared" si="1"/>
        <v>778.4</v>
      </c>
      <c r="N410" s="6">
        <f t="shared" si="2"/>
        <v>1466.078224</v>
      </c>
      <c r="O410" s="6">
        <f t="shared" si="3"/>
        <v>687.678224</v>
      </c>
      <c r="P410" s="7">
        <f t="shared" si="4"/>
        <v>0.4690597082</v>
      </c>
      <c r="Q410" s="6" t="s">
        <v>34</v>
      </c>
      <c r="R410" s="8">
        <f t="shared" si="5"/>
        <v>86.641776</v>
      </c>
    </row>
    <row r="411" ht="14.25" customHeight="1">
      <c r="A411" s="6" t="s">
        <v>1169</v>
      </c>
      <c r="B411" s="6" t="s">
        <v>136</v>
      </c>
      <c r="C411" s="6" t="s">
        <v>1170</v>
      </c>
      <c r="D411" s="6" t="s">
        <v>70</v>
      </c>
      <c r="E411" s="6" t="s">
        <v>38</v>
      </c>
      <c r="F411" s="6" t="s">
        <v>39</v>
      </c>
      <c r="G411" s="6">
        <v>5.0</v>
      </c>
      <c r="H411" s="6">
        <v>282.09</v>
      </c>
      <c r="I411" s="6">
        <v>394.91</v>
      </c>
      <c r="J411" s="6">
        <v>14.91</v>
      </c>
      <c r="K411" s="6" t="s">
        <v>44</v>
      </c>
      <c r="L411" s="6" t="s">
        <v>55</v>
      </c>
      <c r="M411" s="6">
        <f t="shared" si="1"/>
        <v>1410.45</v>
      </c>
      <c r="N411" s="6">
        <f t="shared" si="2"/>
        <v>1680.144595</v>
      </c>
      <c r="O411" s="6">
        <f t="shared" si="3"/>
        <v>269.694595</v>
      </c>
      <c r="P411" s="7">
        <f t="shared" si="4"/>
        <v>0.1605186814</v>
      </c>
      <c r="Q411" s="6" t="s">
        <v>49</v>
      </c>
      <c r="R411" s="8">
        <f t="shared" si="5"/>
        <v>294.405405</v>
      </c>
    </row>
    <row r="412" ht="14.25" customHeight="1">
      <c r="A412" s="6" t="s">
        <v>1171</v>
      </c>
      <c r="B412" s="6" t="s">
        <v>1172</v>
      </c>
      <c r="C412" s="6" t="s">
        <v>1173</v>
      </c>
      <c r="D412" s="6" t="s">
        <v>30</v>
      </c>
      <c r="E412" s="6" t="s">
        <v>38</v>
      </c>
      <c r="F412" s="6" t="s">
        <v>71</v>
      </c>
      <c r="G412" s="6">
        <v>1.0</v>
      </c>
      <c r="H412" s="6">
        <v>307.65</v>
      </c>
      <c r="I412" s="6">
        <v>477.46</v>
      </c>
      <c r="J412" s="6">
        <v>21.06</v>
      </c>
      <c r="K412" s="6" t="s">
        <v>44</v>
      </c>
      <c r="L412" s="6" t="s">
        <v>25</v>
      </c>
      <c r="M412" s="6">
        <f t="shared" si="1"/>
        <v>307.65</v>
      </c>
      <c r="N412" s="6">
        <f t="shared" si="2"/>
        <v>376.906924</v>
      </c>
      <c r="O412" s="6">
        <f t="shared" si="3"/>
        <v>69.256924</v>
      </c>
      <c r="P412" s="7">
        <f t="shared" si="4"/>
        <v>0.1837507342</v>
      </c>
      <c r="Q412" s="6" t="s">
        <v>76</v>
      </c>
      <c r="R412" s="8">
        <f t="shared" si="5"/>
        <v>100.553076</v>
      </c>
    </row>
    <row r="413" ht="14.25" customHeight="1">
      <c r="A413" s="6" t="s">
        <v>1174</v>
      </c>
      <c r="B413" s="6" t="s">
        <v>889</v>
      </c>
      <c r="C413" s="6" t="s">
        <v>1173</v>
      </c>
      <c r="D413" s="6" t="s">
        <v>21</v>
      </c>
      <c r="E413" s="6" t="s">
        <v>38</v>
      </c>
      <c r="F413" s="6" t="s">
        <v>71</v>
      </c>
      <c r="G413" s="6">
        <v>1.0</v>
      </c>
      <c r="H413" s="6">
        <v>189.93</v>
      </c>
      <c r="I413" s="6">
        <v>277.78</v>
      </c>
      <c r="J413" s="6">
        <v>17.5</v>
      </c>
      <c r="K413" s="6" t="s">
        <v>24</v>
      </c>
      <c r="L413" s="6" t="s">
        <v>61</v>
      </c>
      <c r="M413" s="6">
        <f t="shared" si="1"/>
        <v>189.93</v>
      </c>
      <c r="N413" s="6">
        <f t="shared" si="2"/>
        <v>229.1685</v>
      </c>
      <c r="O413" s="6">
        <f t="shared" si="3"/>
        <v>39.2385</v>
      </c>
      <c r="P413" s="7">
        <f t="shared" si="4"/>
        <v>0.1712211757</v>
      </c>
      <c r="Q413" s="6" t="s">
        <v>34</v>
      </c>
      <c r="R413" s="8">
        <f t="shared" si="5"/>
        <v>48.6115</v>
      </c>
    </row>
    <row r="414" ht="14.25" customHeight="1">
      <c r="A414" s="6" t="s">
        <v>1175</v>
      </c>
      <c r="B414" s="6" t="s">
        <v>1176</v>
      </c>
      <c r="C414" s="6" t="s">
        <v>1177</v>
      </c>
      <c r="D414" s="6" t="s">
        <v>48</v>
      </c>
      <c r="E414" s="6" t="s">
        <v>22</v>
      </c>
      <c r="F414" s="6" t="s">
        <v>23</v>
      </c>
      <c r="G414" s="6">
        <v>5.0</v>
      </c>
      <c r="H414" s="6">
        <v>140.37</v>
      </c>
      <c r="I414" s="6">
        <v>181.27</v>
      </c>
      <c r="J414" s="6">
        <v>12.76</v>
      </c>
      <c r="K414" s="6" t="s">
        <v>44</v>
      </c>
      <c r="L414" s="6" t="s">
        <v>25</v>
      </c>
      <c r="M414" s="6">
        <f t="shared" si="1"/>
        <v>701.85</v>
      </c>
      <c r="N414" s="6">
        <f t="shared" si="2"/>
        <v>790.69974</v>
      </c>
      <c r="O414" s="6">
        <f t="shared" si="3"/>
        <v>88.84974</v>
      </c>
      <c r="P414" s="7">
        <f t="shared" si="4"/>
        <v>0.1123684953</v>
      </c>
      <c r="Q414" s="6" t="s">
        <v>40</v>
      </c>
      <c r="R414" s="8">
        <f t="shared" si="5"/>
        <v>115.65026</v>
      </c>
    </row>
    <row r="415" ht="14.25" customHeight="1">
      <c r="A415" s="6" t="s">
        <v>1178</v>
      </c>
      <c r="B415" s="6" t="s">
        <v>1111</v>
      </c>
      <c r="C415" s="6" t="s">
        <v>1179</v>
      </c>
      <c r="D415" s="6" t="s">
        <v>48</v>
      </c>
      <c r="E415" s="6" t="s">
        <v>65</v>
      </c>
      <c r="F415" s="6" t="s">
        <v>66</v>
      </c>
      <c r="G415" s="6">
        <v>5.0</v>
      </c>
      <c r="H415" s="6">
        <v>340.09</v>
      </c>
      <c r="I415" s="6">
        <v>415.87</v>
      </c>
      <c r="J415" s="6">
        <v>2.24</v>
      </c>
      <c r="K415" s="6" t="s">
        <v>44</v>
      </c>
      <c r="L415" s="6" t="s">
        <v>33</v>
      </c>
      <c r="M415" s="6">
        <f t="shared" si="1"/>
        <v>1700.45</v>
      </c>
      <c r="N415" s="6">
        <f t="shared" si="2"/>
        <v>2032.77256</v>
      </c>
      <c r="O415" s="6">
        <f t="shared" si="3"/>
        <v>332.32256</v>
      </c>
      <c r="P415" s="7">
        <f t="shared" si="4"/>
        <v>0.1634824114</v>
      </c>
      <c r="Q415" s="6" t="s">
        <v>34</v>
      </c>
      <c r="R415" s="8">
        <f t="shared" si="5"/>
        <v>46.57744</v>
      </c>
    </row>
    <row r="416" ht="14.25" customHeight="1">
      <c r="A416" s="6" t="s">
        <v>1180</v>
      </c>
      <c r="B416" s="6" t="s">
        <v>1181</v>
      </c>
      <c r="C416" s="6" t="s">
        <v>1182</v>
      </c>
      <c r="D416" s="6" t="s">
        <v>30</v>
      </c>
      <c r="E416" s="6" t="s">
        <v>38</v>
      </c>
      <c r="F416" s="6" t="s">
        <v>71</v>
      </c>
      <c r="G416" s="6">
        <v>1.0</v>
      </c>
      <c r="H416" s="6">
        <v>326.62</v>
      </c>
      <c r="I416" s="6">
        <v>423.86</v>
      </c>
      <c r="J416" s="6">
        <v>24.63</v>
      </c>
      <c r="K416" s="6" t="s">
        <v>24</v>
      </c>
      <c r="L416" s="6" t="s">
        <v>55</v>
      </c>
      <c r="M416" s="6">
        <f t="shared" si="1"/>
        <v>326.62</v>
      </c>
      <c r="N416" s="6">
        <f t="shared" si="2"/>
        <v>319.463282</v>
      </c>
      <c r="O416" s="6">
        <f t="shared" si="3"/>
        <v>-7.156718</v>
      </c>
      <c r="P416" s="7">
        <f t="shared" si="4"/>
        <v>-0.0224023179</v>
      </c>
      <c r="Q416" s="6" t="s">
        <v>34</v>
      </c>
      <c r="R416" s="8">
        <f t="shared" si="5"/>
        <v>104.396718</v>
      </c>
    </row>
    <row r="417" ht="14.25" customHeight="1">
      <c r="A417" s="6" t="s">
        <v>1183</v>
      </c>
      <c r="B417" s="6" t="s">
        <v>1184</v>
      </c>
      <c r="C417" s="6" t="s">
        <v>1182</v>
      </c>
      <c r="D417" s="6" t="s">
        <v>30</v>
      </c>
      <c r="E417" s="6" t="s">
        <v>53</v>
      </c>
      <c r="F417" s="6" t="s">
        <v>54</v>
      </c>
      <c r="G417" s="6">
        <v>4.0</v>
      </c>
      <c r="H417" s="6">
        <v>151.35</v>
      </c>
      <c r="I417" s="6">
        <v>206.08</v>
      </c>
      <c r="J417" s="6">
        <v>13.28</v>
      </c>
      <c r="K417" s="6" t="s">
        <v>44</v>
      </c>
      <c r="L417" s="6" t="s">
        <v>61</v>
      </c>
      <c r="M417" s="6">
        <f t="shared" si="1"/>
        <v>605.4</v>
      </c>
      <c r="N417" s="6">
        <f t="shared" si="2"/>
        <v>714.850304</v>
      </c>
      <c r="O417" s="6">
        <f t="shared" si="3"/>
        <v>109.450304</v>
      </c>
      <c r="P417" s="7">
        <f t="shared" si="4"/>
        <v>0.153109404</v>
      </c>
      <c r="Q417" s="6" t="s">
        <v>40</v>
      </c>
      <c r="R417" s="8">
        <f t="shared" si="5"/>
        <v>109.469696</v>
      </c>
    </row>
    <row r="418" ht="14.25" customHeight="1">
      <c r="A418" s="6" t="s">
        <v>1185</v>
      </c>
      <c r="B418" s="6" t="s">
        <v>1054</v>
      </c>
      <c r="C418" s="6" t="s">
        <v>1186</v>
      </c>
      <c r="D418" s="6" t="s">
        <v>64</v>
      </c>
      <c r="E418" s="6" t="s">
        <v>31</v>
      </c>
      <c r="F418" s="6" t="s">
        <v>32</v>
      </c>
      <c r="G418" s="6">
        <v>5.0</v>
      </c>
      <c r="H418" s="6">
        <v>272.58</v>
      </c>
      <c r="I418" s="6">
        <v>327.66</v>
      </c>
      <c r="J418" s="6">
        <v>23.06</v>
      </c>
      <c r="K418" s="6" t="s">
        <v>24</v>
      </c>
      <c r="L418" s="6" t="s">
        <v>61</v>
      </c>
      <c r="M418" s="6">
        <f t="shared" si="1"/>
        <v>1362.9</v>
      </c>
      <c r="N418" s="6">
        <f t="shared" si="2"/>
        <v>1260.50802</v>
      </c>
      <c r="O418" s="6">
        <f t="shared" si="3"/>
        <v>-102.39198</v>
      </c>
      <c r="P418" s="7">
        <f t="shared" si="4"/>
        <v>-0.08123072474</v>
      </c>
      <c r="Q418" s="6" t="s">
        <v>40</v>
      </c>
      <c r="R418" s="8">
        <f t="shared" si="5"/>
        <v>377.79198</v>
      </c>
    </row>
    <row r="419" ht="14.25" customHeight="1">
      <c r="A419" s="6" t="s">
        <v>1187</v>
      </c>
      <c r="B419" s="6" t="s">
        <v>1188</v>
      </c>
      <c r="C419" s="6" t="s">
        <v>1189</v>
      </c>
      <c r="D419" s="6" t="s">
        <v>30</v>
      </c>
      <c r="E419" s="6" t="s">
        <v>65</v>
      </c>
      <c r="F419" s="6" t="s">
        <v>66</v>
      </c>
      <c r="G419" s="6">
        <v>8.0</v>
      </c>
      <c r="H419" s="6">
        <v>192.23</v>
      </c>
      <c r="I419" s="6">
        <v>367.62</v>
      </c>
      <c r="J419" s="6">
        <v>0.72</v>
      </c>
      <c r="K419" s="6" t="s">
        <v>24</v>
      </c>
      <c r="L419" s="6" t="s">
        <v>25</v>
      </c>
      <c r="M419" s="6">
        <f t="shared" si="1"/>
        <v>1537.84</v>
      </c>
      <c r="N419" s="6">
        <f t="shared" si="2"/>
        <v>2919.785088</v>
      </c>
      <c r="O419" s="6">
        <f t="shared" si="3"/>
        <v>1381.945088</v>
      </c>
      <c r="P419" s="7">
        <f t="shared" si="4"/>
        <v>0.4733037009</v>
      </c>
      <c r="Q419" s="6" t="s">
        <v>76</v>
      </c>
      <c r="R419" s="8">
        <f t="shared" si="5"/>
        <v>21.174912</v>
      </c>
    </row>
    <row r="420" ht="14.25" customHeight="1">
      <c r="A420" s="6" t="s">
        <v>1190</v>
      </c>
      <c r="B420" s="6" t="s">
        <v>1191</v>
      </c>
      <c r="C420" s="6" t="s">
        <v>1192</v>
      </c>
      <c r="D420" s="6" t="s">
        <v>64</v>
      </c>
      <c r="E420" s="6" t="s">
        <v>104</v>
      </c>
      <c r="F420" s="6" t="s">
        <v>105</v>
      </c>
      <c r="G420" s="6">
        <v>1.0</v>
      </c>
      <c r="H420" s="6">
        <v>173.64</v>
      </c>
      <c r="I420" s="6">
        <v>286.1</v>
      </c>
      <c r="J420" s="6">
        <v>17.49</v>
      </c>
      <c r="K420" s="6" t="s">
        <v>44</v>
      </c>
      <c r="L420" s="6" t="s">
        <v>25</v>
      </c>
      <c r="M420" s="6">
        <f t="shared" si="1"/>
        <v>173.64</v>
      </c>
      <c r="N420" s="6">
        <f t="shared" si="2"/>
        <v>236.06111</v>
      </c>
      <c r="O420" s="6">
        <f t="shared" si="3"/>
        <v>62.42111</v>
      </c>
      <c r="P420" s="7">
        <f t="shared" si="4"/>
        <v>0.2644277577</v>
      </c>
      <c r="Q420" s="6" t="s">
        <v>49</v>
      </c>
      <c r="R420" s="8">
        <f t="shared" si="5"/>
        <v>50.03889</v>
      </c>
    </row>
    <row r="421" ht="14.25" customHeight="1">
      <c r="A421" s="6" t="s">
        <v>1193</v>
      </c>
      <c r="B421" s="6" t="s">
        <v>260</v>
      </c>
      <c r="C421" s="6" t="s">
        <v>1194</v>
      </c>
      <c r="D421" s="6" t="s">
        <v>30</v>
      </c>
      <c r="E421" s="6" t="s">
        <v>38</v>
      </c>
      <c r="F421" s="6" t="s">
        <v>39</v>
      </c>
      <c r="G421" s="6">
        <v>8.0</v>
      </c>
      <c r="H421" s="6">
        <v>409.99</v>
      </c>
      <c r="I421" s="6">
        <v>553.39</v>
      </c>
      <c r="J421" s="6">
        <v>12.02</v>
      </c>
      <c r="K421" s="6" t="s">
        <v>44</v>
      </c>
      <c r="L421" s="6" t="s">
        <v>25</v>
      </c>
      <c r="M421" s="6">
        <f t="shared" si="1"/>
        <v>3279.92</v>
      </c>
      <c r="N421" s="6">
        <f t="shared" si="2"/>
        <v>3894.980176</v>
      </c>
      <c r="O421" s="6">
        <f t="shared" si="3"/>
        <v>615.060176</v>
      </c>
      <c r="P421" s="7">
        <f t="shared" si="4"/>
        <v>0.1579109901</v>
      </c>
      <c r="Q421" s="6" t="s">
        <v>49</v>
      </c>
      <c r="R421" s="8">
        <f t="shared" si="5"/>
        <v>532.139824</v>
      </c>
    </row>
    <row r="422" ht="14.25" customHeight="1">
      <c r="A422" s="6" t="s">
        <v>1195</v>
      </c>
      <c r="B422" s="6" t="s">
        <v>1196</v>
      </c>
      <c r="C422" s="6" t="s">
        <v>1197</v>
      </c>
      <c r="D422" s="6" t="s">
        <v>70</v>
      </c>
      <c r="E422" s="6" t="s">
        <v>65</v>
      </c>
      <c r="F422" s="6" t="s">
        <v>66</v>
      </c>
      <c r="G422" s="6">
        <v>6.0</v>
      </c>
      <c r="H422" s="6">
        <v>152.91</v>
      </c>
      <c r="I422" s="6">
        <v>294.2</v>
      </c>
      <c r="J422" s="6">
        <v>6.11</v>
      </c>
      <c r="K422" s="6" t="s">
        <v>24</v>
      </c>
      <c r="L422" s="6" t="s">
        <v>25</v>
      </c>
      <c r="M422" s="6">
        <f t="shared" si="1"/>
        <v>917.46</v>
      </c>
      <c r="N422" s="6">
        <f t="shared" si="2"/>
        <v>1657.34628</v>
      </c>
      <c r="O422" s="6">
        <f t="shared" si="3"/>
        <v>739.88628</v>
      </c>
      <c r="P422" s="7">
        <f t="shared" si="4"/>
        <v>0.4464282986</v>
      </c>
      <c r="Q422" s="6" t="s">
        <v>49</v>
      </c>
      <c r="R422" s="8">
        <f t="shared" si="5"/>
        <v>107.85372</v>
      </c>
    </row>
    <row r="423" ht="14.25" customHeight="1">
      <c r="A423" s="6" t="s">
        <v>1198</v>
      </c>
      <c r="B423" s="6" t="s">
        <v>1199</v>
      </c>
      <c r="C423" s="6" t="s">
        <v>1200</v>
      </c>
      <c r="D423" s="6" t="s">
        <v>64</v>
      </c>
      <c r="E423" s="6" t="s">
        <v>38</v>
      </c>
      <c r="F423" s="6" t="s">
        <v>71</v>
      </c>
      <c r="G423" s="6">
        <v>6.0</v>
      </c>
      <c r="H423" s="6">
        <v>177.0</v>
      </c>
      <c r="I423" s="6">
        <v>251.23</v>
      </c>
      <c r="J423" s="6">
        <v>9.75</v>
      </c>
      <c r="K423" s="6" t="s">
        <v>44</v>
      </c>
      <c r="L423" s="6" t="s">
        <v>33</v>
      </c>
      <c r="M423" s="6">
        <f t="shared" si="1"/>
        <v>1062</v>
      </c>
      <c r="N423" s="6">
        <f t="shared" si="2"/>
        <v>1360.41045</v>
      </c>
      <c r="O423" s="6">
        <f t="shared" si="3"/>
        <v>298.41045</v>
      </c>
      <c r="P423" s="7">
        <f t="shared" si="4"/>
        <v>0.2193532474</v>
      </c>
      <c r="Q423" s="6" t="s">
        <v>49</v>
      </c>
      <c r="R423" s="8">
        <f t="shared" si="5"/>
        <v>146.96955</v>
      </c>
    </row>
    <row r="424" ht="14.25" customHeight="1">
      <c r="A424" s="6" t="s">
        <v>1201</v>
      </c>
      <c r="B424" s="6" t="s">
        <v>217</v>
      </c>
      <c r="C424" s="6" t="s">
        <v>1202</v>
      </c>
      <c r="D424" s="6" t="s">
        <v>30</v>
      </c>
      <c r="E424" s="6" t="s">
        <v>38</v>
      </c>
      <c r="F424" s="6" t="s">
        <v>39</v>
      </c>
      <c r="G424" s="6">
        <v>3.0</v>
      </c>
      <c r="H424" s="6">
        <v>108.59</v>
      </c>
      <c r="I424" s="6">
        <v>160.88</v>
      </c>
      <c r="J424" s="6">
        <v>19.18</v>
      </c>
      <c r="K424" s="6" t="s">
        <v>24</v>
      </c>
      <c r="L424" s="6" t="s">
        <v>61</v>
      </c>
      <c r="M424" s="6">
        <f t="shared" si="1"/>
        <v>325.77</v>
      </c>
      <c r="N424" s="6">
        <f t="shared" si="2"/>
        <v>390.069648</v>
      </c>
      <c r="O424" s="6">
        <f t="shared" si="3"/>
        <v>64.299648</v>
      </c>
      <c r="P424" s="7">
        <f t="shared" si="4"/>
        <v>0.1648414542</v>
      </c>
      <c r="Q424" s="6" t="s">
        <v>26</v>
      </c>
      <c r="R424" s="8">
        <f t="shared" si="5"/>
        <v>92.570352</v>
      </c>
    </row>
    <row r="425" ht="14.25" customHeight="1">
      <c r="A425" s="6" t="s">
        <v>1203</v>
      </c>
      <c r="B425" s="6" t="s">
        <v>1204</v>
      </c>
      <c r="C425" s="6" t="s">
        <v>1205</v>
      </c>
      <c r="D425" s="6" t="s">
        <v>30</v>
      </c>
      <c r="E425" s="6" t="s">
        <v>53</v>
      </c>
      <c r="F425" s="6" t="s">
        <v>54</v>
      </c>
      <c r="G425" s="6">
        <v>7.0</v>
      </c>
      <c r="H425" s="6">
        <v>81.27</v>
      </c>
      <c r="I425" s="6">
        <v>100.17</v>
      </c>
      <c r="J425" s="6">
        <v>8.29</v>
      </c>
      <c r="K425" s="6" t="s">
        <v>24</v>
      </c>
      <c r="L425" s="6" t="s">
        <v>55</v>
      </c>
      <c r="M425" s="6">
        <f t="shared" si="1"/>
        <v>568.89</v>
      </c>
      <c r="N425" s="6">
        <f t="shared" si="2"/>
        <v>643.061349</v>
      </c>
      <c r="O425" s="6">
        <f t="shared" si="3"/>
        <v>74.171349</v>
      </c>
      <c r="P425" s="7">
        <f t="shared" si="4"/>
        <v>0.1153410155</v>
      </c>
      <c r="Q425" s="6" t="s">
        <v>40</v>
      </c>
      <c r="R425" s="8">
        <f t="shared" si="5"/>
        <v>58.128651</v>
      </c>
    </row>
    <row r="426" ht="14.25" customHeight="1">
      <c r="A426" s="6" t="s">
        <v>1206</v>
      </c>
      <c r="B426" s="6" t="s">
        <v>1207</v>
      </c>
      <c r="C426" s="6" t="s">
        <v>1208</v>
      </c>
      <c r="D426" s="6" t="s">
        <v>48</v>
      </c>
      <c r="E426" s="6" t="s">
        <v>22</v>
      </c>
      <c r="F426" s="6" t="s">
        <v>23</v>
      </c>
      <c r="G426" s="6">
        <v>7.0</v>
      </c>
      <c r="H426" s="6">
        <v>194.07</v>
      </c>
      <c r="I426" s="6">
        <v>316.78</v>
      </c>
      <c r="J426" s="6">
        <v>4.72</v>
      </c>
      <c r="K426" s="6" t="s">
        <v>24</v>
      </c>
      <c r="L426" s="6" t="s">
        <v>33</v>
      </c>
      <c r="M426" s="6">
        <f t="shared" si="1"/>
        <v>1358.49</v>
      </c>
      <c r="N426" s="6">
        <f t="shared" si="2"/>
        <v>2112.795888</v>
      </c>
      <c r="O426" s="6">
        <f t="shared" si="3"/>
        <v>754.305888</v>
      </c>
      <c r="P426" s="7">
        <f t="shared" si="4"/>
        <v>0.3570178702</v>
      </c>
      <c r="Q426" s="6" t="s">
        <v>34</v>
      </c>
      <c r="R426" s="8">
        <f t="shared" si="5"/>
        <v>104.664112</v>
      </c>
    </row>
    <row r="427" ht="14.25" customHeight="1">
      <c r="A427" s="6" t="s">
        <v>1209</v>
      </c>
      <c r="B427" s="6" t="s">
        <v>1210</v>
      </c>
      <c r="C427" s="6" t="s">
        <v>1211</v>
      </c>
      <c r="D427" s="6" t="s">
        <v>64</v>
      </c>
      <c r="E427" s="6" t="s">
        <v>53</v>
      </c>
      <c r="F427" s="6" t="s">
        <v>54</v>
      </c>
      <c r="G427" s="6">
        <v>4.0</v>
      </c>
      <c r="H427" s="6">
        <v>282.94</v>
      </c>
      <c r="I427" s="6">
        <v>468.88</v>
      </c>
      <c r="J427" s="6">
        <v>1.36</v>
      </c>
      <c r="K427" s="6" t="s">
        <v>24</v>
      </c>
      <c r="L427" s="6" t="s">
        <v>25</v>
      </c>
      <c r="M427" s="6">
        <f t="shared" si="1"/>
        <v>1131.76</v>
      </c>
      <c r="N427" s="6">
        <f t="shared" si="2"/>
        <v>1850.012928</v>
      </c>
      <c r="O427" s="6">
        <f t="shared" si="3"/>
        <v>718.252928</v>
      </c>
      <c r="P427" s="7">
        <f t="shared" si="4"/>
        <v>0.3882421129</v>
      </c>
      <c r="Q427" s="6" t="s">
        <v>76</v>
      </c>
      <c r="R427" s="8">
        <f t="shared" si="5"/>
        <v>25.507072</v>
      </c>
    </row>
    <row r="428" ht="14.25" customHeight="1">
      <c r="A428" s="6" t="s">
        <v>1212</v>
      </c>
      <c r="B428" s="6" t="s">
        <v>1213</v>
      </c>
      <c r="C428" s="6" t="s">
        <v>1214</v>
      </c>
      <c r="D428" s="6" t="s">
        <v>83</v>
      </c>
      <c r="E428" s="6" t="s">
        <v>59</v>
      </c>
      <c r="F428" s="6" t="s">
        <v>60</v>
      </c>
      <c r="G428" s="6">
        <v>6.0</v>
      </c>
      <c r="H428" s="6">
        <v>221.4</v>
      </c>
      <c r="I428" s="6">
        <v>272.81</v>
      </c>
      <c r="J428" s="6">
        <v>24.99</v>
      </c>
      <c r="K428" s="6" t="s">
        <v>24</v>
      </c>
      <c r="L428" s="6" t="s">
        <v>61</v>
      </c>
      <c r="M428" s="6">
        <f t="shared" si="1"/>
        <v>1328.4</v>
      </c>
      <c r="N428" s="6">
        <f t="shared" si="2"/>
        <v>1227.808686</v>
      </c>
      <c r="O428" s="6">
        <f t="shared" si="3"/>
        <v>-100.591314</v>
      </c>
      <c r="P428" s="7">
        <f t="shared" si="4"/>
        <v>-0.08192751456</v>
      </c>
      <c r="Q428" s="6" t="s">
        <v>26</v>
      </c>
      <c r="R428" s="8">
        <f t="shared" si="5"/>
        <v>409.051314</v>
      </c>
    </row>
    <row r="429" ht="14.25" customHeight="1">
      <c r="A429" s="6" t="s">
        <v>1215</v>
      </c>
      <c r="B429" s="6" t="s">
        <v>110</v>
      </c>
      <c r="C429" s="6" t="s">
        <v>1216</v>
      </c>
      <c r="D429" s="6" t="s">
        <v>83</v>
      </c>
      <c r="E429" s="6" t="s">
        <v>53</v>
      </c>
      <c r="F429" s="6" t="s">
        <v>54</v>
      </c>
      <c r="G429" s="6">
        <v>1.0</v>
      </c>
      <c r="H429" s="6">
        <v>378.75</v>
      </c>
      <c r="I429" s="6">
        <v>517.57</v>
      </c>
      <c r="J429" s="6">
        <v>23.52</v>
      </c>
      <c r="K429" s="6" t="s">
        <v>24</v>
      </c>
      <c r="L429" s="6" t="s">
        <v>55</v>
      </c>
      <c r="M429" s="6">
        <f t="shared" si="1"/>
        <v>378.75</v>
      </c>
      <c r="N429" s="6">
        <f t="shared" si="2"/>
        <v>395.837536</v>
      </c>
      <c r="O429" s="6">
        <f t="shared" si="3"/>
        <v>17.087536</v>
      </c>
      <c r="P429" s="7">
        <f t="shared" si="4"/>
        <v>0.04316805367</v>
      </c>
      <c r="Q429" s="6" t="s">
        <v>40</v>
      </c>
      <c r="R429" s="8">
        <f t="shared" si="5"/>
        <v>121.732464</v>
      </c>
    </row>
    <row r="430" ht="14.25" customHeight="1">
      <c r="A430" s="6" t="s">
        <v>1217</v>
      </c>
      <c r="B430" s="6" t="s">
        <v>1048</v>
      </c>
      <c r="C430" s="6" t="s">
        <v>1218</v>
      </c>
      <c r="D430" s="6" t="s">
        <v>30</v>
      </c>
      <c r="E430" s="6" t="s">
        <v>65</v>
      </c>
      <c r="F430" s="6" t="s">
        <v>75</v>
      </c>
      <c r="G430" s="6">
        <v>2.0</v>
      </c>
      <c r="H430" s="6">
        <v>126.32</v>
      </c>
      <c r="I430" s="6">
        <v>156.59</v>
      </c>
      <c r="J430" s="6">
        <v>18.63</v>
      </c>
      <c r="K430" s="6" t="s">
        <v>24</v>
      </c>
      <c r="L430" s="6" t="s">
        <v>33</v>
      </c>
      <c r="M430" s="6">
        <f t="shared" si="1"/>
        <v>252.64</v>
      </c>
      <c r="N430" s="6">
        <f t="shared" si="2"/>
        <v>254.834566</v>
      </c>
      <c r="O430" s="6">
        <f t="shared" si="3"/>
        <v>2.194566</v>
      </c>
      <c r="P430" s="7">
        <f t="shared" si="4"/>
        <v>0.008611728128</v>
      </c>
      <c r="Q430" s="6" t="s">
        <v>40</v>
      </c>
      <c r="R430" s="8">
        <f t="shared" si="5"/>
        <v>58.345434</v>
      </c>
    </row>
    <row r="431" ht="14.25" customHeight="1">
      <c r="A431" s="6" t="s">
        <v>1219</v>
      </c>
      <c r="B431" s="6" t="s">
        <v>1220</v>
      </c>
      <c r="C431" s="6" t="s">
        <v>1221</v>
      </c>
      <c r="D431" s="6" t="s">
        <v>21</v>
      </c>
      <c r="E431" s="6" t="s">
        <v>31</v>
      </c>
      <c r="F431" s="6" t="s">
        <v>32</v>
      </c>
      <c r="G431" s="6">
        <v>2.0</v>
      </c>
      <c r="H431" s="6">
        <v>220.28</v>
      </c>
      <c r="I431" s="6">
        <v>304.82</v>
      </c>
      <c r="J431" s="6">
        <v>4.62</v>
      </c>
      <c r="K431" s="6" t="s">
        <v>44</v>
      </c>
      <c r="L431" s="6" t="s">
        <v>61</v>
      </c>
      <c r="M431" s="6">
        <f t="shared" si="1"/>
        <v>440.56</v>
      </c>
      <c r="N431" s="6">
        <f t="shared" si="2"/>
        <v>581.474632</v>
      </c>
      <c r="O431" s="6">
        <f t="shared" si="3"/>
        <v>140.914632</v>
      </c>
      <c r="P431" s="7">
        <f t="shared" si="4"/>
        <v>0.2423401198</v>
      </c>
      <c r="Q431" s="6" t="s">
        <v>34</v>
      </c>
      <c r="R431" s="8">
        <f t="shared" si="5"/>
        <v>28.165368</v>
      </c>
    </row>
    <row r="432" ht="14.25" customHeight="1">
      <c r="A432" s="6" t="s">
        <v>1222</v>
      </c>
      <c r="B432" s="6" t="s">
        <v>1223</v>
      </c>
      <c r="C432" s="6" t="s">
        <v>1224</v>
      </c>
      <c r="D432" s="6" t="s">
        <v>83</v>
      </c>
      <c r="E432" s="6" t="s">
        <v>31</v>
      </c>
      <c r="F432" s="6" t="s">
        <v>32</v>
      </c>
      <c r="G432" s="6">
        <v>8.0</v>
      </c>
      <c r="H432" s="6">
        <v>279.99</v>
      </c>
      <c r="I432" s="6">
        <v>532.1</v>
      </c>
      <c r="J432" s="6">
        <v>12.29</v>
      </c>
      <c r="K432" s="6" t="s">
        <v>24</v>
      </c>
      <c r="L432" s="6" t="s">
        <v>25</v>
      </c>
      <c r="M432" s="6">
        <f t="shared" si="1"/>
        <v>2239.92</v>
      </c>
      <c r="N432" s="6">
        <f t="shared" si="2"/>
        <v>3733.63928</v>
      </c>
      <c r="O432" s="6">
        <f t="shared" si="3"/>
        <v>1493.71928</v>
      </c>
      <c r="P432" s="7">
        <f t="shared" si="4"/>
        <v>0.4000705928</v>
      </c>
      <c r="Q432" s="6" t="s">
        <v>26</v>
      </c>
      <c r="R432" s="8">
        <f t="shared" si="5"/>
        <v>523.16072</v>
      </c>
    </row>
    <row r="433" ht="14.25" customHeight="1">
      <c r="A433" s="6" t="s">
        <v>1225</v>
      </c>
      <c r="B433" s="6" t="s">
        <v>306</v>
      </c>
      <c r="C433" s="6" t="s">
        <v>1226</v>
      </c>
      <c r="D433" s="6" t="s">
        <v>64</v>
      </c>
      <c r="E433" s="6" t="s">
        <v>59</v>
      </c>
      <c r="F433" s="6" t="s">
        <v>60</v>
      </c>
      <c r="G433" s="6">
        <v>3.0</v>
      </c>
      <c r="H433" s="6">
        <v>323.49</v>
      </c>
      <c r="I433" s="6">
        <v>475.55</v>
      </c>
      <c r="J433" s="6">
        <v>2.65</v>
      </c>
      <c r="K433" s="6" t="s">
        <v>44</v>
      </c>
      <c r="L433" s="6" t="s">
        <v>55</v>
      </c>
      <c r="M433" s="6">
        <f t="shared" si="1"/>
        <v>970.47</v>
      </c>
      <c r="N433" s="6">
        <f t="shared" si="2"/>
        <v>1388.843775</v>
      </c>
      <c r="O433" s="6">
        <f t="shared" si="3"/>
        <v>418.373775</v>
      </c>
      <c r="P433" s="7">
        <f t="shared" si="4"/>
        <v>0.3012389028</v>
      </c>
      <c r="Q433" s="6" t="s">
        <v>34</v>
      </c>
      <c r="R433" s="8">
        <f t="shared" si="5"/>
        <v>37.806225</v>
      </c>
    </row>
    <row r="434" ht="14.25" customHeight="1">
      <c r="A434" s="6" t="s">
        <v>1227</v>
      </c>
      <c r="B434" s="6" t="s">
        <v>1228</v>
      </c>
      <c r="C434" s="6" t="s">
        <v>1229</v>
      </c>
      <c r="D434" s="6" t="s">
        <v>70</v>
      </c>
      <c r="E434" s="6" t="s">
        <v>87</v>
      </c>
      <c r="F434" s="6" t="s">
        <v>88</v>
      </c>
      <c r="G434" s="6">
        <v>2.0</v>
      </c>
      <c r="H434" s="6">
        <v>131.11</v>
      </c>
      <c r="I434" s="6">
        <v>217.18</v>
      </c>
      <c r="J434" s="6">
        <v>2.07</v>
      </c>
      <c r="K434" s="6" t="s">
        <v>44</v>
      </c>
      <c r="L434" s="6" t="s">
        <v>25</v>
      </c>
      <c r="M434" s="6">
        <f t="shared" si="1"/>
        <v>262.22</v>
      </c>
      <c r="N434" s="6">
        <f t="shared" si="2"/>
        <v>425.368748</v>
      </c>
      <c r="O434" s="6">
        <f t="shared" si="3"/>
        <v>163.148748</v>
      </c>
      <c r="P434" s="7">
        <f t="shared" si="4"/>
        <v>0.3835466258</v>
      </c>
      <c r="Q434" s="6" t="s">
        <v>49</v>
      </c>
      <c r="R434" s="8">
        <f t="shared" si="5"/>
        <v>8.991252</v>
      </c>
    </row>
    <row r="435" ht="14.25" customHeight="1">
      <c r="A435" s="6" t="s">
        <v>1230</v>
      </c>
      <c r="B435" s="6" t="s">
        <v>1231</v>
      </c>
      <c r="C435" s="6" t="s">
        <v>1232</v>
      </c>
      <c r="D435" s="6" t="s">
        <v>83</v>
      </c>
      <c r="E435" s="6" t="s">
        <v>65</v>
      </c>
      <c r="F435" s="6" t="s">
        <v>75</v>
      </c>
      <c r="G435" s="6">
        <v>5.0</v>
      </c>
      <c r="H435" s="6">
        <v>369.59</v>
      </c>
      <c r="I435" s="6">
        <v>440.98</v>
      </c>
      <c r="J435" s="6">
        <v>14.08</v>
      </c>
      <c r="K435" s="6" t="s">
        <v>24</v>
      </c>
      <c r="L435" s="6" t="s">
        <v>61</v>
      </c>
      <c r="M435" s="6">
        <f t="shared" si="1"/>
        <v>1847.95</v>
      </c>
      <c r="N435" s="6">
        <f t="shared" si="2"/>
        <v>1894.45008</v>
      </c>
      <c r="O435" s="6">
        <f t="shared" si="3"/>
        <v>46.50008</v>
      </c>
      <c r="P435" s="7">
        <f t="shared" si="4"/>
        <v>0.02454542376</v>
      </c>
      <c r="Q435" s="6" t="s">
        <v>26</v>
      </c>
      <c r="R435" s="8">
        <f t="shared" si="5"/>
        <v>310.44992</v>
      </c>
    </row>
    <row r="436" ht="14.25" customHeight="1">
      <c r="A436" s="6" t="s">
        <v>1233</v>
      </c>
      <c r="B436" s="6" t="s">
        <v>1234</v>
      </c>
      <c r="C436" s="6" t="s">
        <v>1235</v>
      </c>
      <c r="D436" s="6" t="s">
        <v>64</v>
      </c>
      <c r="E436" s="6" t="s">
        <v>65</v>
      </c>
      <c r="F436" s="6" t="s">
        <v>66</v>
      </c>
      <c r="G436" s="6">
        <v>4.0</v>
      </c>
      <c r="H436" s="6">
        <v>271.52</v>
      </c>
      <c r="I436" s="6">
        <v>511.98</v>
      </c>
      <c r="J436" s="6">
        <v>22.04</v>
      </c>
      <c r="K436" s="6" t="s">
        <v>24</v>
      </c>
      <c r="L436" s="6" t="s">
        <v>55</v>
      </c>
      <c r="M436" s="6">
        <f t="shared" si="1"/>
        <v>1086.08</v>
      </c>
      <c r="N436" s="6">
        <f t="shared" si="2"/>
        <v>1596.558432</v>
      </c>
      <c r="O436" s="6">
        <f t="shared" si="3"/>
        <v>510.478432</v>
      </c>
      <c r="P436" s="7">
        <f t="shared" si="4"/>
        <v>0.3197367674</v>
      </c>
      <c r="Q436" s="6" t="s">
        <v>49</v>
      </c>
      <c r="R436" s="8">
        <f t="shared" si="5"/>
        <v>451.361568</v>
      </c>
    </row>
    <row r="437" ht="14.25" customHeight="1">
      <c r="A437" s="6" t="s">
        <v>1236</v>
      </c>
      <c r="B437" s="6" t="s">
        <v>1237</v>
      </c>
      <c r="C437" s="6" t="s">
        <v>1238</v>
      </c>
      <c r="D437" s="6" t="s">
        <v>70</v>
      </c>
      <c r="E437" s="6" t="s">
        <v>87</v>
      </c>
      <c r="F437" s="6" t="s">
        <v>88</v>
      </c>
      <c r="G437" s="6">
        <v>1.0</v>
      </c>
      <c r="H437" s="6">
        <v>336.67</v>
      </c>
      <c r="I437" s="6">
        <v>451.36</v>
      </c>
      <c r="J437" s="6">
        <v>18.74</v>
      </c>
      <c r="K437" s="6" t="s">
        <v>44</v>
      </c>
      <c r="L437" s="6" t="s">
        <v>61</v>
      </c>
      <c r="M437" s="6">
        <f t="shared" si="1"/>
        <v>336.67</v>
      </c>
      <c r="N437" s="6">
        <f t="shared" si="2"/>
        <v>366.775136</v>
      </c>
      <c r="O437" s="6">
        <f t="shared" si="3"/>
        <v>30.105136</v>
      </c>
      <c r="P437" s="7">
        <f t="shared" si="4"/>
        <v>0.08208063482</v>
      </c>
      <c r="Q437" s="6" t="s">
        <v>76</v>
      </c>
      <c r="R437" s="8">
        <f t="shared" si="5"/>
        <v>84.584864</v>
      </c>
    </row>
    <row r="438" ht="14.25" customHeight="1">
      <c r="A438" s="6" t="s">
        <v>1239</v>
      </c>
      <c r="B438" s="6" t="s">
        <v>1108</v>
      </c>
      <c r="C438" s="6" t="s">
        <v>1240</v>
      </c>
      <c r="D438" s="6" t="s">
        <v>83</v>
      </c>
      <c r="E438" s="6" t="s">
        <v>87</v>
      </c>
      <c r="F438" s="6" t="s">
        <v>88</v>
      </c>
      <c r="G438" s="6">
        <v>5.0</v>
      </c>
      <c r="H438" s="6">
        <v>92.63</v>
      </c>
      <c r="I438" s="6">
        <v>148.88</v>
      </c>
      <c r="J438" s="6">
        <v>1.72</v>
      </c>
      <c r="K438" s="6" t="s">
        <v>24</v>
      </c>
      <c r="L438" s="6" t="s">
        <v>33</v>
      </c>
      <c r="M438" s="6">
        <f t="shared" si="1"/>
        <v>463.15</v>
      </c>
      <c r="N438" s="6">
        <f t="shared" si="2"/>
        <v>731.59632</v>
      </c>
      <c r="O438" s="6">
        <f t="shared" si="3"/>
        <v>268.44632</v>
      </c>
      <c r="P438" s="7">
        <f t="shared" si="4"/>
        <v>0.3669322995</v>
      </c>
      <c r="Q438" s="6" t="s">
        <v>34</v>
      </c>
      <c r="R438" s="8">
        <f t="shared" si="5"/>
        <v>12.80368</v>
      </c>
    </row>
    <row r="439" ht="14.25" customHeight="1">
      <c r="A439" s="6" t="s">
        <v>1241</v>
      </c>
      <c r="B439" s="6" t="s">
        <v>1242</v>
      </c>
      <c r="C439" s="6" t="s">
        <v>1243</v>
      </c>
      <c r="D439" s="6" t="s">
        <v>48</v>
      </c>
      <c r="E439" s="6" t="s">
        <v>31</v>
      </c>
      <c r="F439" s="6" t="s">
        <v>32</v>
      </c>
      <c r="G439" s="6">
        <v>8.0</v>
      </c>
      <c r="H439" s="6">
        <v>154.79</v>
      </c>
      <c r="I439" s="6">
        <v>293.28</v>
      </c>
      <c r="J439" s="6">
        <v>15.0</v>
      </c>
      <c r="K439" s="6" t="s">
        <v>24</v>
      </c>
      <c r="L439" s="6" t="s">
        <v>33</v>
      </c>
      <c r="M439" s="6">
        <f t="shared" si="1"/>
        <v>1238.32</v>
      </c>
      <c r="N439" s="6">
        <f t="shared" si="2"/>
        <v>1994.304</v>
      </c>
      <c r="O439" s="6">
        <f t="shared" si="3"/>
        <v>755.984</v>
      </c>
      <c r="P439" s="7">
        <f t="shared" si="4"/>
        <v>0.3790715959</v>
      </c>
      <c r="Q439" s="6" t="s">
        <v>49</v>
      </c>
      <c r="R439" s="8">
        <f t="shared" si="5"/>
        <v>351.936</v>
      </c>
    </row>
    <row r="440" ht="14.25" customHeight="1">
      <c r="A440" s="6" t="s">
        <v>1244</v>
      </c>
      <c r="B440" s="6" t="s">
        <v>1245</v>
      </c>
      <c r="C440" s="6" t="s">
        <v>1246</v>
      </c>
      <c r="D440" s="6" t="s">
        <v>21</v>
      </c>
      <c r="E440" s="6" t="s">
        <v>22</v>
      </c>
      <c r="F440" s="6" t="s">
        <v>23</v>
      </c>
      <c r="G440" s="6">
        <v>6.0</v>
      </c>
      <c r="H440" s="6">
        <v>183.42</v>
      </c>
      <c r="I440" s="6">
        <v>220.95</v>
      </c>
      <c r="J440" s="6">
        <v>20.1</v>
      </c>
      <c r="K440" s="6" t="s">
        <v>44</v>
      </c>
      <c r="L440" s="6" t="s">
        <v>55</v>
      </c>
      <c r="M440" s="6">
        <f t="shared" si="1"/>
        <v>1100.52</v>
      </c>
      <c r="N440" s="6">
        <f t="shared" si="2"/>
        <v>1059.2343</v>
      </c>
      <c r="O440" s="6">
        <f t="shared" si="3"/>
        <v>-41.2857</v>
      </c>
      <c r="P440" s="7">
        <f t="shared" si="4"/>
        <v>-0.0389769289</v>
      </c>
      <c r="Q440" s="6" t="s">
        <v>26</v>
      </c>
      <c r="R440" s="8">
        <f t="shared" si="5"/>
        <v>266.4657</v>
      </c>
    </row>
    <row r="441" ht="14.25" customHeight="1">
      <c r="A441" s="6" t="s">
        <v>1247</v>
      </c>
      <c r="B441" s="6" t="s">
        <v>1248</v>
      </c>
      <c r="C441" s="6" t="s">
        <v>1246</v>
      </c>
      <c r="D441" s="6" t="s">
        <v>70</v>
      </c>
      <c r="E441" s="6" t="s">
        <v>65</v>
      </c>
      <c r="F441" s="6" t="s">
        <v>75</v>
      </c>
      <c r="G441" s="6">
        <v>1.0</v>
      </c>
      <c r="H441" s="6">
        <v>292.11</v>
      </c>
      <c r="I441" s="6">
        <v>402.72</v>
      </c>
      <c r="J441" s="6">
        <v>18.53</v>
      </c>
      <c r="K441" s="6" t="s">
        <v>44</v>
      </c>
      <c r="L441" s="6" t="s">
        <v>33</v>
      </c>
      <c r="M441" s="6">
        <f t="shared" si="1"/>
        <v>292.11</v>
      </c>
      <c r="N441" s="6">
        <f t="shared" si="2"/>
        <v>328.095984</v>
      </c>
      <c r="O441" s="6">
        <f t="shared" si="3"/>
        <v>35.985984</v>
      </c>
      <c r="P441" s="7">
        <f t="shared" si="4"/>
        <v>0.1096812694</v>
      </c>
      <c r="Q441" s="6" t="s">
        <v>49</v>
      </c>
      <c r="R441" s="8">
        <f t="shared" si="5"/>
        <v>74.624016</v>
      </c>
    </row>
    <row r="442" ht="14.25" customHeight="1">
      <c r="A442" s="6" t="s">
        <v>1249</v>
      </c>
      <c r="B442" s="6" t="s">
        <v>816</v>
      </c>
      <c r="C442" s="6" t="s">
        <v>1250</v>
      </c>
      <c r="D442" s="6" t="s">
        <v>64</v>
      </c>
      <c r="E442" s="6" t="s">
        <v>53</v>
      </c>
      <c r="F442" s="6" t="s">
        <v>54</v>
      </c>
      <c r="G442" s="6">
        <v>7.0</v>
      </c>
      <c r="H442" s="6">
        <v>132.78</v>
      </c>
      <c r="I442" s="6">
        <v>233.5</v>
      </c>
      <c r="J442" s="6">
        <v>5.75</v>
      </c>
      <c r="K442" s="6" t="s">
        <v>24</v>
      </c>
      <c r="L442" s="6" t="s">
        <v>55</v>
      </c>
      <c r="M442" s="6">
        <f t="shared" si="1"/>
        <v>929.46</v>
      </c>
      <c r="N442" s="6">
        <f t="shared" si="2"/>
        <v>1540.51625</v>
      </c>
      <c r="O442" s="6">
        <f t="shared" si="3"/>
        <v>611.05625</v>
      </c>
      <c r="P442" s="7">
        <f t="shared" si="4"/>
        <v>0.3966568025</v>
      </c>
      <c r="Q442" s="6" t="s">
        <v>34</v>
      </c>
      <c r="R442" s="8">
        <f t="shared" si="5"/>
        <v>93.98375</v>
      </c>
    </row>
    <row r="443" ht="14.25" customHeight="1">
      <c r="A443" s="6" t="s">
        <v>1251</v>
      </c>
      <c r="B443" s="6" t="s">
        <v>1043</v>
      </c>
      <c r="C443" s="6" t="s">
        <v>1252</v>
      </c>
      <c r="D443" s="6" t="s">
        <v>21</v>
      </c>
      <c r="E443" s="6" t="s">
        <v>104</v>
      </c>
      <c r="F443" s="6" t="s">
        <v>105</v>
      </c>
      <c r="G443" s="6">
        <v>4.0</v>
      </c>
      <c r="H443" s="6">
        <v>406.16</v>
      </c>
      <c r="I443" s="6">
        <v>540.4</v>
      </c>
      <c r="J443" s="6">
        <v>8.5</v>
      </c>
      <c r="K443" s="6" t="s">
        <v>44</v>
      </c>
      <c r="L443" s="6" t="s">
        <v>25</v>
      </c>
      <c r="M443" s="6">
        <f t="shared" si="1"/>
        <v>1624.64</v>
      </c>
      <c r="N443" s="6">
        <f t="shared" si="2"/>
        <v>1977.864</v>
      </c>
      <c r="O443" s="6">
        <f t="shared" si="3"/>
        <v>353.224</v>
      </c>
      <c r="P443" s="7">
        <f t="shared" si="4"/>
        <v>0.1785886188</v>
      </c>
      <c r="Q443" s="6" t="s">
        <v>76</v>
      </c>
      <c r="R443" s="8">
        <f t="shared" si="5"/>
        <v>183.736</v>
      </c>
    </row>
    <row r="444" ht="14.25" customHeight="1">
      <c r="A444" s="6" t="s">
        <v>1253</v>
      </c>
      <c r="B444" s="6" t="s">
        <v>1254</v>
      </c>
      <c r="C444" s="6" t="s">
        <v>1255</v>
      </c>
      <c r="D444" s="6" t="s">
        <v>48</v>
      </c>
      <c r="E444" s="6" t="s">
        <v>59</v>
      </c>
      <c r="F444" s="6" t="s">
        <v>60</v>
      </c>
      <c r="G444" s="6">
        <v>8.0</v>
      </c>
      <c r="H444" s="6">
        <v>154.47</v>
      </c>
      <c r="I444" s="6">
        <v>230.52</v>
      </c>
      <c r="J444" s="6">
        <v>19.02</v>
      </c>
      <c r="K444" s="6" t="s">
        <v>44</v>
      </c>
      <c r="L444" s="6" t="s">
        <v>33</v>
      </c>
      <c r="M444" s="6">
        <f t="shared" si="1"/>
        <v>1235.76</v>
      </c>
      <c r="N444" s="6">
        <f t="shared" si="2"/>
        <v>1493.400768</v>
      </c>
      <c r="O444" s="6">
        <f t="shared" si="3"/>
        <v>257.640768</v>
      </c>
      <c r="P444" s="7">
        <f t="shared" si="4"/>
        <v>0.1725195095</v>
      </c>
      <c r="Q444" s="6" t="s">
        <v>76</v>
      </c>
      <c r="R444" s="8">
        <f t="shared" si="5"/>
        <v>350.759232</v>
      </c>
    </row>
    <row r="445" ht="14.25" customHeight="1">
      <c r="A445" s="6" t="s">
        <v>1256</v>
      </c>
      <c r="B445" s="6" t="s">
        <v>1257</v>
      </c>
      <c r="C445" s="6" t="s">
        <v>1258</v>
      </c>
      <c r="D445" s="6" t="s">
        <v>83</v>
      </c>
      <c r="E445" s="6" t="s">
        <v>104</v>
      </c>
      <c r="F445" s="6" t="s">
        <v>105</v>
      </c>
      <c r="G445" s="6">
        <v>1.0</v>
      </c>
      <c r="H445" s="6">
        <v>136.61</v>
      </c>
      <c r="I445" s="6">
        <v>230.9</v>
      </c>
      <c r="J445" s="6">
        <v>15.44</v>
      </c>
      <c r="K445" s="6" t="s">
        <v>24</v>
      </c>
      <c r="L445" s="6" t="s">
        <v>25</v>
      </c>
      <c r="M445" s="6">
        <f t="shared" si="1"/>
        <v>136.61</v>
      </c>
      <c r="N445" s="6">
        <f t="shared" si="2"/>
        <v>195.24904</v>
      </c>
      <c r="O445" s="6">
        <f t="shared" si="3"/>
        <v>58.63904</v>
      </c>
      <c r="P445" s="7">
        <f t="shared" si="4"/>
        <v>0.3003294664</v>
      </c>
      <c r="Q445" s="6" t="s">
        <v>49</v>
      </c>
      <c r="R445" s="8">
        <f t="shared" si="5"/>
        <v>35.65096</v>
      </c>
    </row>
    <row r="446" ht="14.25" customHeight="1">
      <c r="A446" s="6" t="s">
        <v>1259</v>
      </c>
      <c r="B446" s="6" t="s">
        <v>110</v>
      </c>
      <c r="C446" s="6" t="s">
        <v>1258</v>
      </c>
      <c r="D446" s="6" t="s">
        <v>30</v>
      </c>
      <c r="E446" s="6" t="s">
        <v>38</v>
      </c>
      <c r="F446" s="6" t="s">
        <v>71</v>
      </c>
      <c r="G446" s="6">
        <v>1.0</v>
      </c>
      <c r="H446" s="6">
        <v>346.09</v>
      </c>
      <c r="I446" s="6">
        <v>476.99</v>
      </c>
      <c r="J446" s="6">
        <v>1.09</v>
      </c>
      <c r="K446" s="6" t="s">
        <v>24</v>
      </c>
      <c r="L446" s="6" t="s">
        <v>33</v>
      </c>
      <c r="M446" s="6">
        <f t="shared" si="1"/>
        <v>346.09</v>
      </c>
      <c r="N446" s="6">
        <f t="shared" si="2"/>
        <v>471.790809</v>
      </c>
      <c r="O446" s="6">
        <f t="shared" si="3"/>
        <v>125.700809</v>
      </c>
      <c r="P446" s="7">
        <f t="shared" si="4"/>
        <v>0.2664333569</v>
      </c>
      <c r="Q446" s="6" t="s">
        <v>26</v>
      </c>
      <c r="R446" s="8">
        <f t="shared" si="5"/>
        <v>5.199191</v>
      </c>
    </row>
    <row r="447" ht="14.25" customHeight="1">
      <c r="A447" s="6" t="s">
        <v>1260</v>
      </c>
      <c r="B447" s="6" t="s">
        <v>771</v>
      </c>
      <c r="C447" s="6" t="s">
        <v>1261</v>
      </c>
      <c r="D447" s="6" t="s">
        <v>48</v>
      </c>
      <c r="E447" s="6" t="s">
        <v>38</v>
      </c>
      <c r="F447" s="6" t="s">
        <v>71</v>
      </c>
      <c r="G447" s="6">
        <v>4.0</v>
      </c>
      <c r="H447" s="6">
        <v>201.87</v>
      </c>
      <c r="I447" s="6">
        <v>356.46</v>
      </c>
      <c r="J447" s="6">
        <v>13.15</v>
      </c>
      <c r="K447" s="6" t="s">
        <v>44</v>
      </c>
      <c r="L447" s="6" t="s">
        <v>61</v>
      </c>
      <c r="M447" s="6">
        <f t="shared" si="1"/>
        <v>807.48</v>
      </c>
      <c r="N447" s="6">
        <f t="shared" si="2"/>
        <v>1238.34204</v>
      </c>
      <c r="O447" s="6">
        <f t="shared" si="3"/>
        <v>430.86204</v>
      </c>
      <c r="P447" s="7">
        <f t="shared" si="4"/>
        <v>0.3479345981</v>
      </c>
      <c r="Q447" s="6" t="s">
        <v>49</v>
      </c>
      <c r="R447" s="8">
        <f t="shared" si="5"/>
        <v>187.49796</v>
      </c>
    </row>
    <row r="448" ht="14.25" customHeight="1">
      <c r="A448" s="6" t="s">
        <v>1262</v>
      </c>
      <c r="B448" s="6" t="s">
        <v>1263</v>
      </c>
      <c r="C448" s="6" t="s">
        <v>1264</v>
      </c>
      <c r="D448" s="6" t="s">
        <v>70</v>
      </c>
      <c r="E448" s="6" t="s">
        <v>53</v>
      </c>
      <c r="F448" s="6" t="s">
        <v>54</v>
      </c>
      <c r="G448" s="6">
        <v>5.0</v>
      </c>
      <c r="H448" s="6">
        <v>81.04</v>
      </c>
      <c r="I448" s="6">
        <v>107.49</v>
      </c>
      <c r="J448" s="6">
        <v>24.36</v>
      </c>
      <c r="K448" s="6" t="s">
        <v>24</v>
      </c>
      <c r="L448" s="6" t="s">
        <v>61</v>
      </c>
      <c r="M448" s="6">
        <f t="shared" si="1"/>
        <v>405.2</v>
      </c>
      <c r="N448" s="6">
        <f t="shared" si="2"/>
        <v>406.52718</v>
      </c>
      <c r="O448" s="6">
        <f t="shared" si="3"/>
        <v>1.32718</v>
      </c>
      <c r="P448" s="7">
        <f t="shared" si="4"/>
        <v>0.003264677161</v>
      </c>
      <c r="Q448" s="6" t="s">
        <v>76</v>
      </c>
      <c r="R448" s="8">
        <f t="shared" si="5"/>
        <v>130.92282</v>
      </c>
    </row>
    <row r="449" ht="14.25" customHeight="1">
      <c r="A449" s="6" t="s">
        <v>1265</v>
      </c>
      <c r="B449" s="6" t="s">
        <v>278</v>
      </c>
      <c r="C449" s="6" t="s">
        <v>1266</v>
      </c>
      <c r="D449" s="6" t="s">
        <v>21</v>
      </c>
      <c r="E449" s="6" t="s">
        <v>38</v>
      </c>
      <c r="F449" s="6" t="s">
        <v>39</v>
      </c>
      <c r="G449" s="6">
        <v>5.0</v>
      </c>
      <c r="H449" s="6">
        <v>289.01</v>
      </c>
      <c r="I449" s="6">
        <v>530.86</v>
      </c>
      <c r="J449" s="6">
        <v>21.65</v>
      </c>
      <c r="K449" s="6" t="s">
        <v>24</v>
      </c>
      <c r="L449" s="6" t="s">
        <v>33</v>
      </c>
      <c r="M449" s="6">
        <f t="shared" si="1"/>
        <v>1445.05</v>
      </c>
      <c r="N449" s="6">
        <f t="shared" si="2"/>
        <v>2079.64405</v>
      </c>
      <c r="O449" s="6">
        <f t="shared" si="3"/>
        <v>634.59405</v>
      </c>
      <c r="P449" s="7">
        <f t="shared" si="4"/>
        <v>0.3051455128</v>
      </c>
      <c r="Q449" s="6" t="s">
        <v>34</v>
      </c>
      <c r="R449" s="8">
        <f t="shared" si="5"/>
        <v>574.65595</v>
      </c>
    </row>
    <row r="450" ht="14.25" customHeight="1">
      <c r="A450" s="6" t="s">
        <v>1267</v>
      </c>
      <c r="B450" s="6" t="s">
        <v>1268</v>
      </c>
      <c r="C450" s="6" t="s">
        <v>1269</v>
      </c>
      <c r="D450" s="6" t="s">
        <v>83</v>
      </c>
      <c r="E450" s="6" t="s">
        <v>38</v>
      </c>
      <c r="F450" s="6" t="s">
        <v>39</v>
      </c>
      <c r="G450" s="6">
        <v>1.0</v>
      </c>
      <c r="H450" s="6">
        <v>66.57</v>
      </c>
      <c r="I450" s="6">
        <v>105.31</v>
      </c>
      <c r="J450" s="6">
        <v>5.04</v>
      </c>
      <c r="K450" s="6" t="s">
        <v>44</v>
      </c>
      <c r="L450" s="6" t="s">
        <v>33</v>
      </c>
      <c r="M450" s="6">
        <f t="shared" si="1"/>
        <v>66.57</v>
      </c>
      <c r="N450" s="6">
        <f t="shared" si="2"/>
        <v>100.002376</v>
      </c>
      <c r="O450" s="6">
        <f t="shared" si="3"/>
        <v>33.432376</v>
      </c>
      <c r="P450" s="7">
        <f t="shared" si="4"/>
        <v>0.3343158167</v>
      </c>
      <c r="Q450" s="6" t="s">
        <v>49</v>
      </c>
      <c r="R450" s="8">
        <f t="shared" si="5"/>
        <v>5.307624</v>
      </c>
    </row>
    <row r="451" ht="14.25" customHeight="1">
      <c r="A451" s="6" t="s">
        <v>1270</v>
      </c>
      <c r="B451" s="6" t="s">
        <v>1271</v>
      </c>
      <c r="C451" s="6" t="s">
        <v>1272</v>
      </c>
      <c r="D451" s="6" t="s">
        <v>21</v>
      </c>
      <c r="E451" s="6" t="s">
        <v>38</v>
      </c>
      <c r="F451" s="6" t="s">
        <v>39</v>
      </c>
      <c r="G451" s="6">
        <v>6.0</v>
      </c>
      <c r="H451" s="6">
        <v>144.01</v>
      </c>
      <c r="I451" s="6">
        <v>178.06</v>
      </c>
      <c r="J451" s="6">
        <v>10.93</v>
      </c>
      <c r="K451" s="6" t="s">
        <v>24</v>
      </c>
      <c r="L451" s="6" t="s">
        <v>61</v>
      </c>
      <c r="M451" s="6">
        <f t="shared" si="1"/>
        <v>864.06</v>
      </c>
      <c r="N451" s="6">
        <f t="shared" si="2"/>
        <v>951.588252</v>
      </c>
      <c r="O451" s="6">
        <f t="shared" si="3"/>
        <v>87.528252</v>
      </c>
      <c r="P451" s="7">
        <f t="shared" si="4"/>
        <v>0.09198122383</v>
      </c>
      <c r="Q451" s="6" t="s">
        <v>76</v>
      </c>
      <c r="R451" s="8">
        <f t="shared" si="5"/>
        <v>116.771748</v>
      </c>
    </row>
    <row r="452" ht="14.25" customHeight="1">
      <c r="A452" s="6" t="s">
        <v>1273</v>
      </c>
      <c r="B452" s="6" t="s">
        <v>1274</v>
      </c>
      <c r="C452" s="6" t="s">
        <v>1275</v>
      </c>
      <c r="D452" s="6" t="s">
        <v>70</v>
      </c>
      <c r="E452" s="6" t="s">
        <v>65</v>
      </c>
      <c r="F452" s="6" t="s">
        <v>66</v>
      </c>
      <c r="G452" s="6">
        <v>2.0</v>
      </c>
      <c r="H452" s="6">
        <v>174.82</v>
      </c>
      <c r="I452" s="6">
        <v>251.44</v>
      </c>
      <c r="J452" s="6">
        <v>9.66</v>
      </c>
      <c r="K452" s="6" t="s">
        <v>44</v>
      </c>
      <c r="L452" s="6" t="s">
        <v>55</v>
      </c>
      <c r="M452" s="6">
        <f t="shared" si="1"/>
        <v>349.64</v>
      </c>
      <c r="N452" s="6">
        <f t="shared" si="2"/>
        <v>454.301792</v>
      </c>
      <c r="O452" s="6">
        <f t="shared" si="3"/>
        <v>104.661792</v>
      </c>
      <c r="P452" s="7">
        <f t="shared" si="4"/>
        <v>0.230379439</v>
      </c>
      <c r="Q452" s="6" t="s">
        <v>49</v>
      </c>
      <c r="R452" s="8">
        <f t="shared" si="5"/>
        <v>48.578208</v>
      </c>
    </row>
    <row r="453" ht="14.25" customHeight="1">
      <c r="A453" s="6" t="s">
        <v>1276</v>
      </c>
      <c r="B453" s="6" t="s">
        <v>1176</v>
      </c>
      <c r="C453" s="6" t="s">
        <v>1277</v>
      </c>
      <c r="D453" s="6" t="s">
        <v>48</v>
      </c>
      <c r="E453" s="6" t="s">
        <v>22</v>
      </c>
      <c r="F453" s="6" t="s">
        <v>23</v>
      </c>
      <c r="G453" s="6">
        <v>3.0</v>
      </c>
      <c r="H453" s="6">
        <v>58.29</v>
      </c>
      <c r="I453" s="6">
        <v>102.78</v>
      </c>
      <c r="J453" s="6">
        <v>13.76</v>
      </c>
      <c r="K453" s="6" t="s">
        <v>24</v>
      </c>
      <c r="L453" s="6" t="s">
        <v>55</v>
      </c>
      <c r="M453" s="6">
        <f t="shared" si="1"/>
        <v>174.87</v>
      </c>
      <c r="N453" s="6">
        <f t="shared" si="2"/>
        <v>265.912416</v>
      </c>
      <c r="O453" s="6">
        <f t="shared" si="3"/>
        <v>91.042416</v>
      </c>
      <c r="P453" s="7">
        <f t="shared" si="4"/>
        <v>0.3423774541</v>
      </c>
      <c r="Q453" s="6" t="s">
        <v>34</v>
      </c>
      <c r="R453" s="8">
        <f t="shared" si="5"/>
        <v>42.427584</v>
      </c>
    </row>
    <row r="454" ht="14.25" customHeight="1">
      <c r="A454" s="6" t="s">
        <v>1278</v>
      </c>
      <c r="B454" s="6" t="s">
        <v>1279</v>
      </c>
      <c r="C454" s="6" t="s">
        <v>1280</v>
      </c>
      <c r="D454" s="6" t="s">
        <v>64</v>
      </c>
      <c r="E454" s="6" t="s">
        <v>87</v>
      </c>
      <c r="F454" s="6" t="s">
        <v>88</v>
      </c>
      <c r="G454" s="6">
        <v>8.0</v>
      </c>
      <c r="H454" s="6">
        <v>305.12</v>
      </c>
      <c r="I454" s="6">
        <v>554.67</v>
      </c>
      <c r="J454" s="6">
        <v>11.53</v>
      </c>
      <c r="K454" s="6" t="s">
        <v>24</v>
      </c>
      <c r="L454" s="6" t="s">
        <v>25</v>
      </c>
      <c r="M454" s="6">
        <f t="shared" si="1"/>
        <v>2440.96</v>
      </c>
      <c r="N454" s="6">
        <f t="shared" si="2"/>
        <v>3925.732392</v>
      </c>
      <c r="O454" s="6">
        <f t="shared" si="3"/>
        <v>1484.772392</v>
      </c>
      <c r="P454" s="7">
        <f t="shared" si="4"/>
        <v>0.378215386</v>
      </c>
      <c r="Q454" s="6" t="s">
        <v>34</v>
      </c>
      <c r="R454" s="8">
        <f t="shared" si="5"/>
        <v>511.627608</v>
      </c>
    </row>
    <row r="455" ht="14.25" customHeight="1">
      <c r="A455" s="6" t="s">
        <v>1281</v>
      </c>
      <c r="B455" s="6" t="s">
        <v>1282</v>
      </c>
      <c r="C455" s="6" t="s">
        <v>1283</v>
      </c>
      <c r="D455" s="6" t="s">
        <v>48</v>
      </c>
      <c r="E455" s="6" t="s">
        <v>31</v>
      </c>
      <c r="F455" s="6" t="s">
        <v>32</v>
      </c>
      <c r="G455" s="6">
        <v>3.0</v>
      </c>
      <c r="H455" s="6">
        <v>385.53</v>
      </c>
      <c r="I455" s="6">
        <v>507.36</v>
      </c>
      <c r="J455" s="6">
        <v>10.23</v>
      </c>
      <c r="K455" s="6" t="s">
        <v>44</v>
      </c>
      <c r="L455" s="6" t="s">
        <v>33</v>
      </c>
      <c r="M455" s="6">
        <f t="shared" si="1"/>
        <v>1156.59</v>
      </c>
      <c r="N455" s="6">
        <f t="shared" si="2"/>
        <v>1366.371216</v>
      </c>
      <c r="O455" s="6">
        <f t="shared" si="3"/>
        <v>209.781216</v>
      </c>
      <c r="P455" s="7">
        <f t="shared" si="4"/>
        <v>0.1535316417</v>
      </c>
      <c r="Q455" s="6" t="s">
        <v>49</v>
      </c>
      <c r="R455" s="8">
        <f t="shared" si="5"/>
        <v>155.708784</v>
      </c>
    </row>
    <row r="456" ht="14.25" customHeight="1">
      <c r="A456" s="6" t="s">
        <v>1284</v>
      </c>
      <c r="B456" s="6" t="s">
        <v>393</v>
      </c>
      <c r="C456" s="6" t="s">
        <v>1285</v>
      </c>
      <c r="D456" s="6" t="s">
        <v>70</v>
      </c>
      <c r="E456" s="6" t="s">
        <v>22</v>
      </c>
      <c r="F456" s="6" t="s">
        <v>23</v>
      </c>
      <c r="G456" s="6">
        <v>2.0</v>
      </c>
      <c r="H456" s="6">
        <v>337.64</v>
      </c>
      <c r="I456" s="6">
        <v>455.75</v>
      </c>
      <c r="J456" s="6">
        <v>23.64</v>
      </c>
      <c r="K456" s="6" t="s">
        <v>44</v>
      </c>
      <c r="L456" s="6" t="s">
        <v>61</v>
      </c>
      <c r="M456" s="6">
        <f t="shared" si="1"/>
        <v>675.28</v>
      </c>
      <c r="N456" s="6">
        <f t="shared" si="2"/>
        <v>696.0214</v>
      </c>
      <c r="O456" s="6">
        <f t="shared" si="3"/>
        <v>20.7414</v>
      </c>
      <c r="P456" s="7">
        <f t="shared" si="4"/>
        <v>0.02979994581</v>
      </c>
      <c r="Q456" s="6" t="s">
        <v>76</v>
      </c>
      <c r="R456" s="8">
        <f t="shared" si="5"/>
        <v>215.4786</v>
      </c>
    </row>
    <row r="457" ht="14.25" customHeight="1">
      <c r="A457" s="6" t="s">
        <v>1286</v>
      </c>
      <c r="B457" s="6" t="s">
        <v>352</v>
      </c>
      <c r="C457" s="6" t="s">
        <v>1285</v>
      </c>
      <c r="D457" s="6" t="s">
        <v>70</v>
      </c>
      <c r="E457" s="6" t="s">
        <v>65</v>
      </c>
      <c r="F457" s="6" t="s">
        <v>75</v>
      </c>
      <c r="G457" s="6">
        <v>6.0</v>
      </c>
      <c r="H457" s="6">
        <v>238.79</v>
      </c>
      <c r="I457" s="6">
        <v>315.36</v>
      </c>
      <c r="J457" s="6">
        <v>24.74</v>
      </c>
      <c r="K457" s="6" t="s">
        <v>24</v>
      </c>
      <c r="L457" s="6" t="s">
        <v>55</v>
      </c>
      <c r="M457" s="6">
        <f t="shared" si="1"/>
        <v>1432.74</v>
      </c>
      <c r="N457" s="6">
        <f t="shared" si="2"/>
        <v>1424.039616</v>
      </c>
      <c r="O457" s="6">
        <f t="shared" si="3"/>
        <v>-8.700384</v>
      </c>
      <c r="P457" s="7">
        <f t="shared" si="4"/>
        <v>-0.006109650253</v>
      </c>
      <c r="Q457" s="6" t="s">
        <v>40</v>
      </c>
      <c r="R457" s="8">
        <f t="shared" si="5"/>
        <v>468.120384</v>
      </c>
    </row>
    <row r="458" ht="14.25" customHeight="1">
      <c r="A458" s="6" t="s">
        <v>1287</v>
      </c>
      <c r="B458" s="6" t="s">
        <v>405</v>
      </c>
      <c r="C458" s="6" t="s">
        <v>1288</v>
      </c>
      <c r="D458" s="6" t="s">
        <v>83</v>
      </c>
      <c r="E458" s="6" t="s">
        <v>31</v>
      </c>
      <c r="F458" s="6" t="s">
        <v>32</v>
      </c>
      <c r="G458" s="6">
        <v>8.0</v>
      </c>
      <c r="H458" s="6">
        <v>115.94</v>
      </c>
      <c r="I458" s="6">
        <v>200.48</v>
      </c>
      <c r="J458" s="6">
        <v>21.53</v>
      </c>
      <c r="K458" s="6" t="s">
        <v>24</v>
      </c>
      <c r="L458" s="6" t="s">
        <v>33</v>
      </c>
      <c r="M458" s="6">
        <f t="shared" si="1"/>
        <v>927.52</v>
      </c>
      <c r="N458" s="6">
        <f t="shared" si="2"/>
        <v>1258.533248</v>
      </c>
      <c r="O458" s="6">
        <f t="shared" si="3"/>
        <v>331.013248</v>
      </c>
      <c r="P458" s="7">
        <f t="shared" si="4"/>
        <v>0.2630150999</v>
      </c>
      <c r="Q458" s="6" t="s">
        <v>40</v>
      </c>
      <c r="R458" s="8">
        <f t="shared" si="5"/>
        <v>345.306752</v>
      </c>
    </row>
    <row r="459" ht="14.25" customHeight="1">
      <c r="A459" s="6" t="s">
        <v>1289</v>
      </c>
      <c r="B459" s="6" t="s">
        <v>295</v>
      </c>
      <c r="C459" s="6" t="s">
        <v>1290</v>
      </c>
      <c r="D459" s="6" t="s">
        <v>21</v>
      </c>
      <c r="E459" s="6" t="s">
        <v>59</v>
      </c>
      <c r="F459" s="6" t="s">
        <v>60</v>
      </c>
      <c r="G459" s="6">
        <v>8.0</v>
      </c>
      <c r="H459" s="6">
        <v>415.53</v>
      </c>
      <c r="I459" s="6">
        <v>546.55</v>
      </c>
      <c r="J459" s="6">
        <v>11.87</v>
      </c>
      <c r="K459" s="6" t="s">
        <v>24</v>
      </c>
      <c r="L459" s="6" t="s">
        <v>61</v>
      </c>
      <c r="M459" s="6">
        <f t="shared" si="1"/>
        <v>3324.24</v>
      </c>
      <c r="N459" s="6">
        <f t="shared" si="2"/>
        <v>3853.39612</v>
      </c>
      <c r="O459" s="6">
        <f t="shared" si="3"/>
        <v>529.15612</v>
      </c>
      <c r="P459" s="7">
        <f t="shared" si="4"/>
        <v>0.1373220151</v>
      </c>
      <c r="Q459" s="6" t="s">
        <v>76</v>
      </c>
      <c r="R459" s="8">
        <f t="shared" si="5"/>
        <v>519.00388</v>
      </c>
    </row>
    <row r="460" ht="14.25" customHeight="1">
      <c r="A460" s="6" t="s">
        <v>1291</v>
      </c>
      <c r="B460" s="6" t="s">
        <v>123</v>
      </c>
      <c r="C460" s="6" t="s">
        <v>1292</v>
      </c>
      <c r="D460" s="6" t="s">
        <v>83</v>
      </c>
      <c r="E460" s="6" t="s">
        <v>65</v>
      </c>
      <c r="F460" s="6" t="s">
        <v>75</v>
      </c>
      <c r="G460" s="6">
        <v>8.0</v>
      </c>
      <c r="H460" s="6">
        <v>275.54</v>
      </c>
      <c r="I460" s="6">
        <v>516.27</v>
      </c>
      <c r="J460" s="6">
        <v>18.61</v>
      </c>
      <c r="K460" s="6" t="s">
        <v>24</v>
      </c>
      <c r="L460" s="6" t="s">
        <v>55</v>
      </c>
      <c r="M460" s="6">
        <f t="shared" si="1"/>
        <v>2204.32</v>
      </c>
      <c r="N460" s="6">
        <f t="shared" si="2"/>
        <v>3361.537224</v>
      </c>
      <c r="O460" s="6">
        <f t="shared" si="3"/>
        <v>1157.217224</v>
      </c>
      <c r="P460" s="7">
        <f t="shared" si="4"/>
        <v>0.3442523902</v>
      </c>
      <c r="Q460" s="6" t="s">
        <v>40</v>
      </c>
      <c r="R460" s="8">
        <f t="shared" si="5"/>
        <v>768.622776</v>
      </c>
    </row>
    <row r="461" ht="14.25" customHeight="1">
      <c r="A461" s="6" t="s">
        <v>1293</v>
      </c>
      <c r="B461" s="6" t="s">
        <v>234</v>
      </c>
      <c r="C461" s="6" t="s">
        <v>1294</v>
      </c>
      <c r="D461" s="6" t="s">
        <v>83</v>
      </c>
      <c r="E461" s="6" t="s">
        <v>53</v>
      </c>
      <c r="F461" s="6" t="s">
        <v>54</v>
      </c>
      <c r="G461" s="6">
        <v>1.0</v>
      </c>
      <c r="H461" s="6">
        <v>256.43</v>
      </c>
      <c r="I461" s="6">
        <v>306.19</v>
      </c>
      <c r="J461" s="6">
        <v>5.92</v>
      </c>
      <c r="K461" s="6" t="s">
        <v>24</v>
      </c>
      <c r="L461" s="6" t="s">
        <v>55</v>
      </c>
      <c r="M461" s="6">
        <f t="shared" si="1"/>
        <v>256.43</v>
      </c>
      <c r="N461" s="6">
        <f t="shared" si="2"/>
        <v>288.063552</v>
      </c>
      <c r="O461" s="6">
        <f t="shared" si="3"/>
        <v>31.633552</v>
      </c>
      <c r="P461" s="7">
        <f t="shared" si="4"/>
        <v>0.1098144898</v>
      </c>
      <c r="Q461" s="6" t="s">
        <v>40</v>
      </c>
      <c r="R461" s="8">
        <f t="shared" si="5"/>
        <v>18.126448</v>
      </c>
    </row>
    <row r="462" ht="14.25" customHeight="1">
      <c r="A462" s="6" t="s">
        <v>1295</v>
      </c>
      <c r="B462" s="6" t="s">
        <v>1296</v>
      </c>
      <c r="C462" s="6" t="s">
        <v>1297</v>
      </c>
      <c r="D462" s="6" t="s">
        <v>70</v>
      </c>
      <c r="E462" s="6" t="s">
        <v>38</v>
      </c>
      <c r="F462" s="6" t="s">
        <v>71</v>
      </c>
      <c r="G462" s="6">
        <v>6.0</v>
      </c>
      <c r="H462" s="6">
        <v>430.14</v>
      </c>
      <c r="I462" s="6">
        <v>593.95</v>
      </c>
      <c r="J462" s="6">
        <v>21.54</v>
      </c>
      <c r="K462" s="6" t="s">
        <v>24</v>
      </c>
      <c r="L462" s="6" t="s">
        <v>33</v>
      </c>
      <c r="M462" s="6">
        <f t="shared" si="1"/>
        <v>2580.84</v>
      </c>
      <c r="N462" s="6">
        <f t="shared" si="2"/>
        <v>2796.07902</v>
      </c>
      <c r="O462" s="6">
        <f t="shared" si="3"/>
        <v>215.23902</v>
      </c>
      <c r="P462" s="7">
        <f t="shared" si="4"/>
        <v>0.07697887594</v>
      </c>
      <c r="Q462" s="6" t="s">
        <v>76</v>
      </c>
      <c r="R462" s="8">
        <f t="shared" si="5"/>
        <v>767.62098</v>
      </c>
    </row>
    <row r="463" ht="14.25" customHeight="1">
      <c r="A463" s="6" t="s">
        <v>1298</v>
      </c>
      <c r="B463" s="6" t="s">
        <v>1299</v>
      </c>
      <c r="C463" s="6" t="s">
        <v>1297</v>
      </c>
      <c r="D463" s="6" t="s">
        <v>30</v>
      </c>
      <c r="E463" s="6" t="s">
        <v>53</v>
      </c>
      <c r="F463" s="6" t="s">
        <v>54</v>
      </c>
      <c r="G463" s="6">
        <v>3.0</v>
      </c>
      <c r="H463" s="6">
        <v>457.37</v>
      </c>
      <c r="I463" s="6">
        <v>599.17</v>
      </c>
      <c r="J463" s="6">
        <v>18.5</v>
      </c>
      <c r="K463" s="6" t="s">
        <v>24</v>
      </c>
      <c r="L463" s="6" t="s">
        <v>55</v>
      </c>
      <c r="M463" s="6">
        <f t="shared" si="1"/>
        <v>1372.11</v>
      </c>
      <c r="N463" s="6">
        <f t="shared" si="2"/>
        <v>1464.97065</v>
      </c>
      <c r="O463" s="6">
        <f t="shared" si="3"/>
        <v>92.86065</v>
      </c>
      <c r="P463" s="7">
        <f t="shared" si="4"/>
        <v>0.06338737913</v>
      </c>
      <c r="Q463" s="6" t="s">
        <v>40</v>
      </c>
      <c r="R463" s="8">
        <f t="shared" si="5"/>
        <v>332.53935</v>
      </c>
    </row>
    <row r="464" ht="14.25" customHeight="1">
      <c r="A464" s="6" t="s">
        <v>1300</v>
      </c>
      <c r="B464" s="6" t="s">
        <v>1301</v>
      </c>
      <c r="C464" s="6" t="s">
        <v>1302</v>
      </c>
      <c r="D464" s="6" t="s">
        <v>83</v>
      </c>
      <c r="E464" s="6" t="s">
        <v>65</v>
      </c>
      <c r="F464" s="6" t="s">
        <v>66</v>
      </c>
      <c r="G464" s="6">
        <v>5.0</v>
      </c>
      <c r="H464" s="6">
        <v>190.88</v>
      </c>
      <c r="I464" s="6">
        <v>277.94</v>
      </c>
      <c r="J464" s="6">
        <v>8.98</v>
      </c>
      <c r="K464" s="6" t="s">
        <v>24</v>
      </c>
      <c r="L464" s="6" t="s">
        <v>61</v>
      </c>
      <c r="M464" s="6">
        <f t="shared" si="1"/>
        <v>954.4</v>
      </c>
      <c r="N464" s="6">
        <f t="shared" si="2"/>
        <v>1264.90494</v>
      </c>
      <c r="O464" s="6">
        <f t="shared" si="3"/>
        <v>310.50494</v>
      </c>
      <c r="P464" s="7">
        <f t="shared" si="4"/>
        <v>0.2454768973</v>
      </c>
      <c r="Q464" s="6" t="s">
        <v>49</v>
      </c>
      <c r="R464" s="8">
        <f t="shared" si="5"/>
        <v>124.79506</v>
      </c>
    </row>
    <row r="465" ht="14.25" customHeight="1">
      <c r="A465" s="6" t="s">
        <v>1303</v>
      </c>
      <c r="B465" s="6" t="s">
        <v>1304</v>
      </c>
      <c r="C465" s="6" t="s">
        <v>1305</v>
      </c>
      <c r="D465" s="6" t="s">
        <v>21</v>
      </c>
      <c r="E465" s="6" t="s">
        <v>59</v>
      </c>
      <c r="F465" s="6" t="s">
        <v>60</v>
      </c>
      <c r="G465" s="6">
        <v>5.0</v>
      </c>
      <c r="H465" s="6">
        <v>63.48</v>
      </c>
      <c r="I465" s="6">
        <v>102.93</v>
      </c>
      <c r="J465" s="6">
        <v>3.27</v>
      </c>
      <c r="K465" s="6" t="s">
        <v>24</v>
      </c>
      <c r="L465" s="6" t="s">
        <v>61</v>
      </c>
      <c r="M465" s="6">
        <f t="shared" si="1"/>
        <v>317.4</v>
      </c>
      <c r="N465" s="6">
        <f t="shared" si="2"/>
        <v>497.820945</v>
      </c>
      <c r="O465" s="6">
        <f t="shared" si="3"/>
        <v>180.420945</v>
      </c>
      <c r="P465" s="7">
        <f t="shared" si="4"/>
        <v>0.3624213622</v>
      </c>
      <c r="Q465" s="6" t="s">
        <v>26</v>
      </c>
      <c r="R465" s="8">
        <f t="shared" si="5"/>
        <v>16.829055</v>
      </c>
    </row>
    <row r="466" ht="14.25" customHeight="1">
      <c r="A466" s="6" t="s">
        <v>1306</v>
      </c>
      <c r="B466" s="6" t="s">
        <v>465</v>
      </c>
      <c r="C466" s="6" t="s">
        <v>1307</v>
      </c>
      <c r="D466" s="6" t="s">
        <v>48</v>
      </c>
      <c r="E466" s="6" t="s">
        <v>65</v>
      </c>
      <c r="F466" s="6" t="s">
        <v>75</v>
      </c>
      <c r="G466" s="6">
        <v>7.0</v>
      </c>
      <c r="H466" s="6">
        <v>81.3</v>
      </c>
      <c r="I466" s="6">
        <v>162.24</v>
      </c>
      <c r="J466" s="6">
        <v>18.05</v>
      </c>
      <c r="K466" s="6" t="s">
        <v>44</v>
      </c>
      <c r="L466" s="6" t="s">
        <v>25</v>
      </c>
      <c r="M466" s="6">
        <f t="shared" si="1"/>
        <v>569.1</v>
      </c>
      <c r="N466" s="6">
        <f t="shared" si="2"/>
        <v>930.68976</v>
      </c>
      <c r="O466" s="6">
        <f t="shared" si="3"/>
        <v>361.58976</v>
      </c>
      <c r="P466" s="7">
        <f t="shared" si="4"/>
        <v>0.3885180385</v>
      </c>
      <c r="Q466" s="6" t="s">
        <v>40</v>
      </c>
      <c r="R466" s="8">
        <f t="shared" si="5"/>
        <v>204.99024</v>
      </c>
    </row>
    <row r="467" ht="14.25" customHeight="1">
      <c r="A467" s="6" t="s">
        <v>1308</v>
      </c>
      <c r="B467" s="6" t="s">
        <v>1309</v>
      </c>
      <c r="C467" s="6" t="s">
        <v>1310</v>
      </c>
      <c r="D467" s="6" t="s">
        <v>48</v>
      </c>
      <c r="E467" s="6" t="s">
        <v>22</v>
      </c>
      <c r="F467" s="6" t="s">
        <v>23</v>
      </c>
      <c r="G467" s="6">
        <v>7.0</v>
      </c>
      <c r="H467" s="6">
        <v>263.03</v>
      </c>
      <c r="I467" s="6">
        <v>385.88</v>
      </c>
      <c r="J467" s="6">
        <v>9.87</v>
      </c>
      <c r="K467" s="6" t="s">
        <v>24</v>
      </c>
      <c r="L467" s="6" t="s">
        <v>61</v>
      </c>
      <c r="M467" s="6">
        <f t="shared" si="1"/>
        <v>1841.21</v>
      </c>
      <c r="N467" s="6">
        <f t="shared" si="2"/>
        <v>2434.555508</v>
      </c>
      <c r="O467" s="6">
        <f t="shared" si="3"/>
        <v>593.345508</v>
      </c>
      <c r="P467" s="7">
        <f t="shared" si="4"/>
        <v>0.243718209</v>
      </c>
      <c r="Q467" s="6" t="s">
        <v>34</v>
      </c>
      <c r="R467" s="8">
        <f t="shared" si="5"/>
        <v>266.604492</v>
      </c>
    </row>
    <row r="468" ht="14.25" customHeight="1">
      <c r="A468" s="6" t="s">
        <v>1311</v>
      </c>
      <c r="B468" s="6" t="s">
        <v>816</v>
      </c>
      <c r="C468" s="6" t="s">
        <v>1312</v>
      </c>
      <c r="D468" s="6" t="s">
        <v>48</v>
      </c>
      <c r="E468" s="6" t="s">
        <v>104</v>
      </c>
      <c r="F468" s="6" t="s">
        <v>105</v>
      </c>
      <c r="G468" s="6">
        <v>5.0</v>
      </c>
      <c r="H468" s="6">
        <v>129.95</v>
      </c>
      <c r="I468" s="6">
        <v>226.51</v>
      </c>
      <c r="J468" s="6">
        <v>8.57</v>
      </c>
      <c r="K468" s="6" t="s">
        <v>24</v>
      </c>
      <c r="L468" s="6" t="s">
        <v>55</v>
      </c>
      <c r="M468" s="6">
        <f t="shared" si="1"/>
        <v>649.75</v>
      </c>
      <c r="N468" s="6">
        <f t="shared" si="2"/>
        <v>1035.490465</v>
      </c>
      <c r="O468" s="6">
        <f t="shared" si="3"/>
        <v>385.740465</v>
      </c>
      <c r="P468" s="7">
        <f t="shared" si="4"/>
        <v>0.3725195722</v>
      </c>
      <c r="Q468" s="6" t="s">
        <v>49</v>
      </c>
      <c r="R468" s="8">
        <f t="shared" si="5"/>
        <v>97.059535</v>
      </c>
    </row>
    <row r="469" ht="14.25" customHeight="1">
      <c r="A469" s="6" t="s">
        <v>1313</v>
      </c>
      <c r="B469" s="6" t="s">
        <v>1314</v>
      </c>
      <c r="C469" s="6" t="s">
        <v>1315</v>
      </c>
      <c r="D469" s="6" t="s">
        <v>30</v>
      </c>
      <c r="E469" s="6" t="s">
        <v>31</v>
      </c>
      <c r="F469" s="6" t="s">
        <v>32</v>
      </c>
      <c r="G469" s="6">
        <v>3.0</v>
      </c>
      <c r="H469" s="6">
        <v>143.57</v>
      </c>
      <c r="I469" s="6">
        <v>189.65</v>
      </c>
      <c r="J469" s="6">
        <v>8.63</v>
      </c>
      <c r="K469" s="6" t="s">
        <v>44</v>
      </c>
      <c r="L469" s="6" t="s">
        <v>33</v>
      </c>
      <c r="M469" s="6">
        <f t="shared" si="1"/>
        <v>430.71</v>
      </c>
      <c r="N469" s="6">
        <f t="shared" si="2"/>
        <v>519.849615</v>
      </c>
      <c r="O469" s="6">
        <f t="shared" si="3"/>
        <v>89.139615</v>
      </c>
      <c r="P469" s="7">
        <f t="shared" si="4"/>
        <v>0.1714719265</v>
      </c>
      <c r="Q469" s="6" t="s">
        <v>34</v>
      </c>
      <c r="R469" s="8">
        <f t="shared" si="5"/>
        <v>49.100385</v>
      </c>
    </row>
    <row r="470" ht="14.25" customHeight="1">
      <c r="A470" s="6" t="s">
        <v>1316</v>
      </c>
      <c r="B470" s="6" t="s">
        <v>1317</v>
      </c>
      <c r="C470" s="6" t="s">
        <v>1318</v>
      </c>
      <c r="D470" s="6" t="s">
        <v>21</v>
      </c>
      <c r="E470" s="6" t="s">
        <v>59</v>
      </c>
      <c r="F470" s="6" t="s">
        <v>60</v>
      </c>
      <c r="G470" s="6">
        <v>7.0</v>
      </c>
      <c r="H470" s="6">
        <v>131.81</v>
      </c>
      <c r="I470" s="6">
        <v>252.98</v>
      </c>
      <c r="J470" s="6">
        <v>23.89</v>
      </c>
      <c r="K470" s="6" t="s">
        <v>24</v>
      </c>
      <c r="L470" s="6" t="s">
        <v>25</v>
      </c>
      <c r="M470" s="6">
        <f t="shared" si="1"/>
        <v>922.67</v>
      </c>
      <c r="N470" s="6">
        <f t="shared" si="2"/>
        <v>1347.801546</v>
      </c>
      <c r="O470" s="6">
        <f t="shared" si="3"/>
        <v>425.131546</v>
      </c>
      <c r="P470" s="7">
        <f t="shared" si="4"/>
        <v>0.3154259225</v>
      </c>
      <c r="Q470" s="6" t="s">
        <v>34</v>
      </c>
      <c r="R470" s="8">
        <f t="shared" si="5"/>
        <v>423.058454</v>
      </c>
    </row>
    <row r="471" ht="14.25" customHeight="1">
      <c r="A471" s="6" t="s">
        <v>1319</v>
      </c>
      <c r="B471" s="6" t="s">
        <v>570</v>
      </c>
      <c r="C471" s="6" t="s">
        <v>1320</v>
      </c>
      <c r="D471" s="6" t="s">
        <v>83</v>
      </c>
      <c r="E471" s="6" t="s">
        <v>65</v>
      </c>
      <c r="F471" s="6" t="s">
        <v>75</v>
      </c>
      <c r="G471" s="6">
        <v>3.0</v>
      </c>
      <c r="H471" s="6">
        <v>85.31</v>
      </c>
      <c r="I471" s="6">
        <v>129.03</v>
      </c>
      <c r="J471" s="6">
        <v>3.9</v>
      </c>
      <c r="K471" s="6" t="s">
        <v>44</v>
      </c>
      <c r="L471" s="6" t="s">
        <v>33</v>
      </c>
      <c r="M471" s="6">
        <f t="shared" si="1"/>
        <v>255.93</v>
      </c>
      <c r="N471" s="6">
        <f t="shared" si="2"/>
        <v>371.99349</v>
      </c>
      <c r="O471" s="6">
        <f t="shared" si="3"/>
        <v>116.06349</v>
      </c>
      <c r="P471" s="7">
        <f t="shared" si="4"/>
        <v>0.3120040891</v>
      </c>
      <c r="Q471" s="6" t="s">
        <v>40</v>
      </c>
      <c r="R471" s="8">
        <f t="shared" si="5"/>
        <v>15.09651</v>
      </c>
    </row>
    <row r="472" ht="14.25" customHeight="1">
      <c r="A472" s="6" t="s">
        <v>1321</v>
      </c>
      <c r="B472" s="6" t="s">
        <v>968</v>
      </c>
      <c r="C472" s="6" t="s">
        <v>1322</v>
      </c>
      <c r="D472" s="6" t="s">
        <v>30</v>
      </c>
      <c r="E472" s="6" t="s">
        <v>104</v>
      </c>
      <c r="F472" s="6" t="s">
        <v>105</v>
      </c>
      <c r="G472" s="6">
        <v>8.0</v>
      </c>
      <c r="H472" s="6">
        <v>276.5</v>
      </c>
      <c r="I472" s="6">
        <v>439.88</v>
      </c>
      <c r="J472" s="6">
        <v>19.93</v>
      </c>
      <c r="K472" s="6" t="s">
        <v>24</v>
      </c>
      <c r="L472" s="6" t="s">
        <v>25</v>
      </c>
      <c r="M472" s="6">
        <f t="shared" si="1"/>
        <v>2212</v>
      </c>
      <c r="N472" s="6">
        <f t="shared" si="2"/>
        <v>2817.695328</v>
      </c>
      <c r="O472" s="6">
        <f t="shared" si="3"/>
        <v>605.695328</v>
      </c>
      <c r="P472" s="7">
        <f t="shared" si="4"/>
        <v>0.2149612564</v>
      </c>
      <c r="Q472" s="6" t="s">
        <v>34</v>
      </c>
      <c r="R472" s="8">
        <f t="shared" si="5"/>
        <v>701.344672</v>
      </c>
    </row>
    <row r="473" ht="14.25" customHeight="1">
      <c r="A473" s="6" t="s">
        <v>1323</v>
      </c>
      <c r="B473" s="6" t="s">
        <v>1268</v>
      </c>
      <c r="C473" s="6" t="s">
        <v>1324</v>
      </c>
      <c r="D473" s="6" t="s">
        <v>70</v>
      </c>
      <c r="E473" s="6" t="s">
        <v>104</v>
      </c>
      <c r="F473" s="6" t="s">
        <v>105</v>
      </c>
      <c r="G473" s="6">
        <v>5.0</v>
      </c>
      <c r="H473" s="6">
        <v>139.91</v>
      </c>
      <c r="I473" s="6">
        <v>252.51</v>
      </c>
      <c r="J473" s="6">
        <v>1.4</v>
      </c>
      <c r="K473" s="6" t="s">
        <v>44</v>
      </c>
      <c r="L473" s="6" t="s">
        <v>25</v>
      </c>
      <c r="M473" s="6">
        <f t="shared" si="1"/>
        <v>699.55</v>
      </c>
      <c r="N473" s="6">
        <f t="shared" si="2"/>
        <v>1244.8743</v>
      </c>
      <c r="O473" s="6">
        <f t="shared" si="3"/>
        <v>545.3243</v>
      </c>
      <c r="P473" s="7">
        <f t="shared" si="4"/>
        <v>0.4380557137</v>
      </c>
      <c r="Q473" s="6" t="s">
        <v>49</v>
      </c>
      <c r="R473" s="8">
        <f t="shared" si="5"/>
        <v>17.6757</v>
      </c>
    </row>
    <row r="474" ht="14.25" customHeight="1">
      <c r="A474" s="6" t="s">
        <v>1325</v>
      </c>
      <c r="B474" s="6" t="s">
        <v>336</v>
      </c>
      <c r="C474" s="6" t="s">
        <v>1326</v>
      </c>
      <c r="D474" s="6" t="s">
        <v>70</v>
      </c>
      <c r="E474" s="6" t="s">
        <v>59</v>
      </c>
      <c r="F474" s="6" t="s">
        <v>60</v>
      </c>
      <c r="G474" s="6">
        <v>1.0</v>
      </c>
      <c r="H474" s="6">
        <v>439.96</v>
      </c>
      <c r="I474" s="6">
        <v>568.6</v>
      </c>
      <c r="J474" s="6">
        <v>12.69</v>
      </c>
      <c r="K474" s="6" t="s">
        <v>24</v>
      </c>
      <c r="L474" s="6" t="s">
        <v>55</v>
      </c>
      <c r="M474" s="6">
        <f t="shared" si="1"/>
        <v>439.96</v>
      </c>
      <c r="N474" s="6">
        <f t="shared" si="2"/>
        <v>496.44466</v>
      </c>
      <c r="O474" s="6">
        <f t="shared" si="3"/>
        <v>56.48466</v>
      </c>
      <c r="P474" s="7">
        <f t="shared" si="4"/>
        <v>0.1137783615</v>
      </c>
      <c r="Q474" s="6" t="s">
        <v>34</v>
      </c>
      <c r="R474" s="8">
        <f t="shared" si="5"/>
        <v>72.15534</v>
      </c>
    </row>
    <row r="475" ht="14.25" customHeight="1">
      <c r="A475" s="6" t="s">
        <v>1327</v>
      </c>
      <c r="B475" s="6" t="s">
        <v>281</v>
      </c>
      <c r="C475" s="6" t="s">
        <v>1328</v>
      </c>
      <c r="D475" s="6" t="s">
        <v>64</v>
      </c>
      <c r="E475" s="6" t="s">
        <v>59</v>
      </c>
      <c r="F475" s="6" t="s">
        <v>60</v>
      </c>
      <c r="G475" s="6">
        <v>7.0</v>
      </c>
      <c r="H475" s="6">
        <v>164.03</v>
      </c>
      <c r="I475" s="6">
        <v>284.3</v>
      </c>
      <c r="J475" s="6">
        <v>20.6</v>
      </c>
      <c r="K475" s="6" t="s">
        <v>44</v>
      </c>
      <c r="L475" s="6" t="s">
        <v>33</v>
      </c>
      <c r="M475" s="6">
        <f t="shared" si="1"/>
        <v>1148.21</v>
      </c>
      <c r="N475" s="6">
        <f t="shared" si="2"/>
        <v>1580.1394</v>
      </c>
      <c r="O475" s="6">
        <f t="shared" si="3"/>
        <v>431.9294</v>
      </c>
      <c r="P475" s="7">
        <f t="shared" si="4"/>
        <v>0.273348921</v>
      </c>
      <c r="Q475" s="6" t="s">
        <v>76</v>
      </c>
      <c r="R475" s="8">
        <f t="shared" si="5"/>
        <v>409.9606</v>
      </c>
    </row>
    <row r="476" ht="14.25" customHeight="1">
      <c r="A476" s="6" t="s">
        <v>1329</v>
      </c>
      <c r="B476" s="6" t="s">
        <v>603</v>
      </c>
      <c r="C476" s="6" t="s">
        <v>1330</v>
      </c>
      <c r="D476" s="6" t="s">
        <v>48</v>
      </c>
      <c r="E476" s="6" t="s">
        <v>31</v>
      </c>
      <c r="F476" s="6" t="s">
        <v>32</v>
      </c>
      <c r="G476" s="6">
        <v>1.0</v>
      </c>
      <c r="H476" s="6">
        <v>143.76</v>
      </c>
      <c r="I476" s="6">
        <v>216.91</v>
      </c>
      <c r="J476" s="6">
        <v>5.66</v>
      </c>
      <c r="K476" s="6" t="s">
        <v>44</v>
      </c>
      <c r="L476" s="6" t="s">
        <v>33</v>
      </c>
      <c r="M476" s="6">
        <f t="shared" si="1"/>
        <v>143.76</v>
      </c>
      <c r="N476" s="6">
        <f t="shared" si="2"/>
        <v>204.632894</v>
      </c>
      <c r="O476" s="6">
        <f t="shared" si="3"/>
        <v>60.872894</v>
      </c>
      <c r="P476" s="7">
        <f t="shared" si="4"/>
        <v>0.2974736505</v>
      </c>
      <c r="Q476" s="6" t="s">
        <v>49</v>
      </c>
      <c r="R476" s="8">
        <f t="shared" si="5"/>
        <v>12.277106</v>
      </c>
    </row>
    <row r="477" ht="14.25" customHeight="1">
      <c r="A477" s="6" t="s">
        <v>1331</v>
      </c>
      <c r="B477" s="6" t="s">
        <v>1332</v>
      </c>
      <c r="C477" s="6" t="s">
        <v>1333</v>
      </c>
      <c r="D477" s="6" t="s">
        <v>48</v>
      </c>
      <c r="E477" s="6" t="s">
        <v>38</v>
      </c>
      <c r="F477" s="6" t="s">
        <v>39</v>
      </c>
      <c r="G477" s="6">
        <v>2.0</v>
      </c>
      <c r="H477" s="6">
        <v>238.75</v>
      </c>
      <c r="I477" s="6">
        <v>319.32</v>
      </c>
      <c r="J477" s="6">
        <v>12.0</v>
      </c>
      <c r="K477" s="6" t="s">
        <v>44</v>
      </c>
      <c r="L477" s="6" t="s">
        <v>55</v>
      </c>
      <c r="M477" s="6">
        <f t="shared" si="1"/>
        <v>477.5</v>
      </c>
      <c r="N477" s="6">
        <f t="shared" si="2"/>
        <v>562.0032</v>
      </c>
      <c r="O477" s="6">
        <f t="shared" si="3"/>
        <v>84.5032</v>
      </c>
      <c r="P477" s="7">
        <f t="shared" si="4"/>
        <v>0.1503607097</v>
      </c>
      <c r="Q477" s="6" t="s">
        <v>49</v>
      </c>
      <c r="R477" s="8">
        <f t="shared" si="5"/>
        <v>76.6368</v>
      </c>
    </row>
    <row r="478" ht="14.25" customHeight="1">
      <c r="A478" s="6" t="s">
        <v>1334</v>
      </c>
      <c r="B478" s="6" t="s">
        <v>93</v>
      </c>
      <c r="C478" s="6" t="s">
        <v>1335</v>
      </c>
      <c r="D478" s="6" t="s">
        <v>64</v>
      </c>
      <c r="E478" s="6" t="s">
        <v>104</v>
      </c>
      <c r="F478" s="6" t="s">
        <v>105</v>
      </c>
      <c r="G478" s="6">
        <v>4.0</v>
      </c>
      <c r="H478" s="6">
        <v>127.1</v>
      </c>
      <c r="I478" s="6">
        <v>197.66</v>
      </c>
      <c r="J478" s="6">
        <v>24.22</v>
      </c>
      <c r="K478" s="6" t="s">
        <v>44</v>
      </c>
      <c r="L478" s="6" t="s">
        <v>33</v>
      </c>
      <c r="M478" s="6">
        <f t="shared" si="1"/>
        <v>508.4</v>
      </c>
      <c r="N478" s="6">
        <f t="shared" si="2"/>
        <v>599.146992</v>
      </c>
      <c r="O478" s="6">
        <f t="shared" si="3"/>
        <v>90.746992</v>
      </c>
      <c r="P478" s="7">
        <f t="shared" si="4"/>
        <v>0.1514603148</v>
      </c>
      <c r="Q478" s="6" t="s">
        <v>76</v>
      </c>
      <c r="R478" s="8">
        <f t="shared" si="5"/>
        <v>191.493008</v>
      </c>
    </row>
    <row r="479" ht="14.25" customHeight="1">
      <c r="A479" s="6" t="s">
        <v>1336</v>
      </c>
      <c r="B479" s="6" t="s">
        <v>99</v>
      </c>
      <c r="C479" s="6" t="s">
        <v>1335</v>
      </c>
      <c r="D479" s="6" t="s">
        <v>83</v>
      </c>
      <c r="E479" s="6" t="s">
        <v>38</v>
      </c>
      <c r="F479" s="6" t="s">
        <v>39</v>
      </c>
      <c r="G479" s="6">
        <v>4.0</v>
      </c>
      <c r="H479" s="6">
        <v>442.86</v>
      </c>
      <c r="I479" s="6">
        <v>531.37</v>
      </c>
      <c r="J479" s="6">
        <v>17.09</v>
      </c>
      <c r="K479" s="6" t="s">
        <v>44</v>
      </c>
      <c r="L479" s="6" t="s">
        <v>25</v>
      </c>
      <c r="M479" s="6">
        <f t="shared" si="1"/>
        <v>1771.44</v>
      </c>
      <c r="N479" s="6">
        <f t="shared" si="2"/>
        <v>1762.235468</v>
      </c>
      <c r="O479" s="6">
        <f t="shared" si="3"/>
        <v>-9.204532</v>
      </c>
      <c r="P479" s="7">
        <f t="shared" si="4"/>
        <v>-0.005223213451</v>
      </c>
      <c r="Q479" s="6" t="s">
        <v>76</v>
      </c>
      <c r="R479" s="8">
        <f t="shared" si="5"/>
        <v>363.244532</v>
      </c>
    </row>
    <row r="480" ht="14.25" customHeight="1">
      <c r="A480" s="6" t="s">
        <v>1337</v>
      </c>
      <c r="B480" s="6" t="s">
        <v>1332</v>
      </c>
      <c r="C480" s="6" t="s">
        <v>1338</v>
      </c>
      <c r="D480" s="6" t="s">
        <v>30</v>
      </c>
      <c r="E480" s="6" t="s">
        <v>65</v>
      </c>
      <c r="F480" s="6" t="s">
        <v>66</v>
      </c>
      <c r="G480" s="6">
        <v>7.0</v>
      </c>
      <c r="H480" s="6">
        <v>232.0</v>
      </c>
      <c r="I480" s="6">
        <v>277.05</v>
      </c>
      <c r="J480" s="6">
        <v>6.19</v>
      </c>
      <c r="K480" s="6" t="s">
        <v>44</v>
      </c>
      <c r="L480" s="6" t="s">
        <v>61</v>
      </c>
      <c r="M480" s="6">
        <f t="shared" si="1"/>
        <v>1624</v>
      </c>
      <c r="N480" s="6">
        <f t="shared" si="2"/>
        <v>1819.304235</v>
      </c>
      <c r="O480" s="6">
        <f t="shared" si="3"/>
        <v>195.304235</v>
      </c>
      <c r="P480" s="7">
        <f t="shared" si="4"/>
        <v>0.1073510583</v>
      </c>
      <c r="Q480" s="6" t="s">
        <v>49</v>
      </c>
      <c r="R480" s="8">
        <f t="shared" si="5"/>
        <v>120.045765</v>
      </c>
    </row>
    <row r="481" ht="14.25" customHeight="1">
      <c r="A481" s="6" t="s">
        <v>1339</v>
      </c>
      <c r="B481" s="6" t="s">
        <v>1340</v>
      </c>
      <c r="C481" s="6" t="s">
        <v>1341</v>
      </c>
      <c r="D481" s="6" t="s">
        <v>83</v>
      </c>
      <c r="E481" s="6" t="s">
        <v>65</v>
      </c>
      <c r="F481" s="6" t="s">
        <v>66</v>
      </c>
      <c r="G481" s="6">
        <v>7.0</v>
      </c>
      <c r="H481" s="6">
        <v>289.43</v>
      </c>
      <c r="I481" s="6">
        <v>397.45</v>
      </c>
      <c r="J481" s="6">
        <v>6.81</v>
      </c>
      <c r="K481" s="6" t="s">
        <v>44</v>
      </c>
      <c r="L481" s="6" t="s">
        <v>55</v>
      </c>
      <c r="M481" s="6">
        <f t="shared" si="1"/>
        <v>2026.01</v>
      </c>
      <c r="N481" s="6">
        <f t="shared" si="2"/>
        <v>2592.685585</v>
      </c>
      <c r="O481" s="6">
        <f t="shared" si="3"/>
        <v>566.675585</v>
      </c>
      <c r="P481" s="7">
        <f t="shared" si="4"/>
        <v>0.2185670288</v>
      </c>
      <c r="Q481" s="6" t="s">
        <v>26</v>
      </c>
      <c r="R481" s="8">
        <f t="shared" si="5"/>
        <v>189.464415</v>
      </c>
    </row>
    <row r="482" ht="14.25" customHeight="1">
      <c r="A482" s="6" t="s">
        <v>1342</v>
      </c>
      <c r="B482" s="6" t="s">
        <v>1343</v>
      </c>
      <c r="C482" s="6" t="s">
        <v>1344</v>
      </c>
      <c r="D482" s="6" t="s">
        <v>30</v>
      </c>
      <c r="E482" s="6" t="s">
        <v>87</v>
      </c>
      <c r="F482" s="6" t="s">
        <v>88</v>
      </c>
      <c r="G482" s="6">
        <v>4.0</v>
      </c>
      <c r="H482" s="6">
        <v>407.27</v>
      </c>
      <c r="I482" s="6">
        <v>548.66</v>
      </c>
      <c r="J482" s="6">
        <v>14.17</v>
      </c>
      <c r="K482" s="6" t="s">
        <v>44</v>
      </c>
      <c r="L482" s="6" t="s">
        <v>55</v>
      </c>
      <c r="M482" s="6">
        <f t="shared" si="1"/>
        <v>1629.08</v>
      </c>
      <c r="N482" s="6">
        <f t="shared" si="2"/>
        <v>1883.659512</v>
      </c>
      <c r="O482" s="6">
        <f t="shared" si="3"/>
        <v>254.579512</v>
      </c>
      <c r="P482" s="7">
        <f t="shared" si="4"/>
        <v>0.1351515549</v>
      </c>
      <c r="Q482" s="6" t="s">
        <v>26</v>
      </c>
      <c r="R482" s="8">
        <f t="shared" si="5"/>
        <v>310.980488</v>
      </c>
    </row>
    <row r="483" ht="14.25" customHeight="1">
      <c r="A483" s="6" t="s">
        <v>1345</v>
      </c>
      <c r="B483" s="6" t="s">
        <v>982</v>
      </c>
      <c r="C483" s="6" t="s">
        <v>1346</v>
      </c>
      <c r="D483" s="6" t="s">
        <v>83</v>
      </c>
      <c r="E483" s="6" t="s">
        <v>38</v>
      </c>
      <c r="F483" s="6" t="s">
        <v>71</v>
      </c>
      <c r="G483" s="6">
        <v>7.0</v>
      </c>
      <c r="H483" s="6">
        <v>275.85</v>
      </c>
      <c r="I483" s="6">
        <v>405.17</v>
      </c>
      <c r="J483" s="6">
        <v>20.0</v>
      </c>
      <c r="K483" s="6" t="s">
        <v>24</v>
      </c>
      <c r="L483" s="6" t="s">
        <v>61</v>
      </c>
      <c r="M483" s="6">
        <f t="shared" si="1"/>
        <v>1930.95</v>
      </c>
      <c r="N483" s="6">
        <f t="shared" si="2"/>
        <v>2268.952</v>
      </c>
      <c r="O483" s="6">
        <f t="shared" si="3"/>
        <v>338.002</v>
      </c>
      <c r="P483" s="7">
        <f t="shared" si="4"/>
        <v>0.1489683343</v>
      </c>
      <c r="Q483" s="6" t="s">
        <v>76</v>
      </c>
      <c r="R483" s="8">
        <f t="shared" si="5"/>
        <v>567.238</v>
      </c>
    </row>
    <row r="484" ht="14.25" customHeight="1">
      <c r="A484" s="6" t="s">
        <v>1347</v>
      </c>
      <c r="B484" s="6" t="s">
        <v>1348</v>
      </c>
      <c r="C484" s="6" t="s">
        <v>1349</v>
      </c>
      <c r="D484" s="6" t="s">
        <v>70</v>
      </c>
      <c r="E484" s="6" t="s">
        <v>104</v>
      </c>
      <c r="F484" s="6" t="s">
        <v>105</v>
      </c>
      <c r="G484" s="6">
        <v>3.0</v>
      </c>
      <c r="H484" s="6">
        <v>166.7</v>
      </c>
      <c r="I484" s="6">
        <v>230.59</v>
      </c>
      <c r="J484" s="6">
        <v>15.44</v>
      </c>
      <c r="K484" s="6" t="s">
        <v>24</v>
      </c>
      <c r="L484" s="6" t="s">
        <v>33</v>
      </c>
      <c r="M484" s="6">
        <f t="shared" si="1"/>
        <v>500.1</v>
      </c>
      <c r="N484" s="6">
        <f t="shared" si="2"/>
        <v>584.960712</v>
      </c>
      <c r="O484" s="6">
        <f t="shared" si="3"/>
        <v>84.860712</v>
      </c>
      <c r="P484" s="7">
        <f t="shared" si="4"/>
        <v>0.145070789</v>
      </c>
      <c r="Q484" s="6" t="s">
        <v>40</v>
      </c>
      <c r="R484" s="8">
        <f t="shared" si="5"/>
        <v>106.809288</v>
      </c>
    </row>
    <row r="485" ht="14.25" customHeight="1">
      <c r="A485" s="6" t="s">
        <v>1350</v>
      </c>
      <c r="B485" s="6" t="s">
        <v>1351</v>
      </c>
      <c r="C485" s="6" t="s">
        <v>1352</v>
      </c>
      <c r="D485" s="6" t="s">
        <v>48</v>
      </c>
      <c r="E485" s="6" t="s">
        <v>65</v>
      </c>
      <c r="F485" s="6" t="s">
        <v>66</v>
      </c>
      <c r="G485" s="6">
        <v>6.0</v>
      </c>
      <c r="H485" s="6">
        <v>351.27</v>
      </c>
      <c r="I485" s="6">
        <v>529.41</v>
      </c>
      <c r="J485" s="6">
        <v>21.77</v>
      </c>
      <c r="K485" s="6" t="s">
        <v>24</v>
      </c>
      <c r="L485" s="6" t="s">
        <v>33</v>
      </c>
      <c r="M485" s="6">
        <f t="shared" si="1"/>
        <v>2107.62</v>
      </c>
      <c r="N485" s="6">
        <f t="shared" si="2"/>
        <v>2484.944658</v>
      </c>
      <c r="O485" s="6">
        <f t="shared" si="3"/>
        <v>377.324658</v>
      </c>
      <c r="P485" s="7">
        <f t="shared" si="4"/>
        <v>0.1518442903</v>
      </c>
      <c r="Q485" s="6" t="s">
        <v>26</v>
      </c>
      <c r="R485" s="8">
        <f t="shared" si="5"/>
        <v>691.515342</v>
      </c>
    </row>
    <row r="486" ht="14.25" customHeight="1">
      <c r="A486" s="6" t="s">
        <v>1353</v>
      </c>
      <c r="B486" s="6" t="s">
        <v>19</v>
      </c>
      <c r="C486" s="6" t="s">
        <v>1354</v>
      </c>
      <c r="D486" s="6" t="s">
        <v>21</v>
      </c>
      <c r="E486" s="6" t="s">
        <v>22</v>
      </c>
      <c r="F486" s="6" t="s">
        <v>23</v>
      </c>
      <c r="G486" s="6">
        <v>7.0</v>
      </c>
      <c r="H486" s="6">
        <v>123.18</v>
      </c>
      <c r="I486" s="6">
        <v>167.6</v>
      </c>
      <c r="J486" s="6">
        <v>0.28</v>
      </c>
      <c r="K486" s="6" t="s">
        <v>24</v>
      </c>
      <c r="L486" s="6" t="s">
        <v>55</v>
      </c>
      <c r="M486" s="6">
        <f t="shared" si="1"/>
        <v>862.26</v>
      </c>
      <c r="N486" s="6">
        <f t="shared" si="2"/>
        <v>1169.91504</v>
      </c>
      <c r="O486" s="6">
        <f t="shared" si="3"/>
        <v>307.65504</v>
      </c>
      <c r="P486" s="7">
        <f t="shared" si="4"/>
        <v>0.2629721215</v>
      </c>
      <c r="Q486" s="6" t="s">
        <v>76</v>
      </c>
      <c r="R486" s="8">
        <f t="shared" si="5"/>
        <v>3.28496</v>
      </c>
    </row>
    <row r="487" ht="14.25" customHeight="1">
      <c r="A487" s="6" t="s">
        <v>1355</v>
      </c>
      <c r="B487" s="6" t="s">
        <v>278</v>
      </c>
      <c r="C487" s="6" t="s">
        <v>1356</v>
      </c>
      <c r="D487" s="6" t="s">
        <v>21</v>
      </c>
      <c r="E487" s="6" t="s">
        <v>65</v>
      </c>
      <c r="F487" s="6" t="s">
        <v>75</v>
      </c>
      <c r="G487" s="6">
        <v>8.0</v>
      </c>
      <c r="H487" s="6">
        <v>368.37</v>
      </c>
      <c r="I487" s="6">
        <v>467.72</v>
      </c>
      <c r="J487" s="6">
        <v>15.92</v>
      </c>
      <c r="K487" s="6" t="s">
        <v>44</v>
      </c>
      <c r="L487" s="6" t="s">
        <v>25</v>
      </c>
      <c r="M487" s="6">
        <f t="shared" si="1"/>
        <v>2946.96</v>
      </c>
      <c r="N487" s="6">
        <f t="shared" si="2"/>
        <v>3146.071808</v>
      </c>
      <c r="O487" s="6">
        <f t="shared" si="3"/>
        <v>199.111808</v>
      </c>
      <c r="P487" s="7">
        <f t="shared" si="4"/>
        <v>0.06328902204</v>
      </c>
      <c r="Q487" s="6" t="s">
        <v>76</v>
      </c>
      <c r="R487" s="8">
        <f t="shared" si="5"/>
        <v>595.688192</v>
      </c>
    </row>
    <row r="488" ht="14.25" customHeight="1">
      <c r="A488" s="6" t="s">
        <v>1357</v>
      </c>
      <c r="B488" s="6" t="s">
        <v>1196</v>
      </c>
      <c r="C488" s="6" t="s">
        <v>1358</v>
      </c>
      <c r="D488" s="6" t="s">
        <v>30</v>
      </c>
      <c r="E488" s="6" t="s">
        <v>87</v>
      </c>
      <c r="F488" s="6" t="s">
        <v>88</v>
      </c>
      <c r="G488" s="6">
        <v>3.0</v>
      </c>
      <c r="H488" s="6">
        <v>326.28</v>
      </c>
      <c r="I488" s="6">
        <v>538.72</v>
      </c>
      <c r="J488" s="6">
        <v>21.86</v>
      </c>
      <c r="K488" s="6" t="s">
        <v>24</v>
      </c>
      <c r="L488" s="6" t="s">
        <v>55</v>
      </c>
      <c r="M488" s="6">
        <f t="shared" si="1"/>
        <v>978.84</v>
      </c>
      <c r="N488" s="6">
        <f t="shared" si="2"/>
        <v>1262.867424</v>
      </c>
      <c r="O488" s="6">
        <f t="shared" si="3"/>
        <v>284.027424</v>
      </c>
      <c r="P488" s="7">
        <f t="shared" si="4"/>
        <v>0.2249067627</v>
      </c>
      <c r="Q488" s="6" t="s">
        <v>49</v>
      </c>
      <c r="R488" s="8">
        <f t="shared" si="5"/>
        <v>353.292576</v>
      </c>
    </row>
    <row r="489" ht="14.25" customHeight="1">
      <c r="A489" s="6" t="s">
        <v>1359</v>
      </c>
      <c r="B489" s="6" t="s">
        <v>1032</v>
      </c>
      <c r="C489" s="6" t="s">
        <v>1360</v>
      </c>
      <c r="D489" s="6" t="s">
        <v>64</v>
      </c>
      <c r="E489" s="6" t="s">
        <v>38</v>
      </c>
      <c r="F489" s="6" t="s">
        <v>39</v>
      </c>
      <c r="G489" s="6">
        <v>1.0</v>
      </c>
      <c r="H489" s="6">
        <v>328.17</v>
      </c>
      <c r="I489" s="6">
        <v>520.97</v>
      </c>
      <c r="J489" s="6">
        <v>7.89</v>
      </c>
      <c r="K489" s="6" t="s">
        <v>44</v>
      </c>
      <c r="L489" s="6" t="s">
        <v>55</v>
      </c>
      <c r="M489" s="6">
        <f t="shared" si="1"/>
        <v>328.17</v>
      </c>
      <c r="N489" s="6">
        <f t="shared" si="2"/>
        <v>479.865467</v>
      </c>
      <c r="O489" s="6">
        <f t="shared" si="3"/>
        <v>151.695467</v>
      </c>
      <c r="P489" s="7">
        <f t="shared" si="4"/>
        <v>0.3161208243</v>
      </c>
      <c r="Q489" s="6" t="s">
        <v>34</v>
      </c>
      <c r="R489" s="8">
        <f t="shared" si="5"/>
        <v>41.104533</v>
      </c>
    </row>
    <row r="490" ht="14.25" customHeight="1">
      <c r="A490" s="6" t="s">
        <v>1361</v>
      </c>
      <c r="B490" s="6" t="s">
        <v>523</v>
      </c>
      <c r="C490" s="6" t="s">
        <v>1362</v>
      </c>
      <c r="D490" s="6" t="s">
        <v>48</v>
      </c>
      <c r="E490" s="6" t="s">
        <v>87</v>
      </c>
      <c r="F490" s="6" t="s">
        <v>88</v>
      </c>
      <c r="G490" s="6">
        <v>4.0</v>
      </c>
      <c r="H490" s="6">
        <v>109.71</v>
      </c>
      <c r="I490" s="6">
        <v>176.09</v>
      </c>
      <c r="J490" s="6">
        <v>2.27</v>
      </c>
      <c r="K490" s="6" t="s">
        <v>24</v>
      </c>
      <c r="L490" s="6" t="s">
        <v>55</v>
      </c>
      <c r="M490" s="6">
        <f t="shared" si="1"/>
        <v>438.84</v>
      </c>
      <c r="N490" s="6">
        <f t="shared" si="2"/>
        <v>688.371028</v>
      </c>
      <c r="O490" s="6">
        <f t="shared" si="3"/>
        <v>249.531028</v>
      </c>
      <c r="P490" s="7">
        <f t="shared" si="4"/>
        <v>0.3624949596</v>
      </c>
      <c r="Q490" s="6" t="s">
        <v>76</v>
      </c>
      <c r="R490" s="8">
        <f t="shared" si="5"/>
        <v>15.988972</v>
      </c>
    </row>
    <row r="491" ht="14.25" customHeight="1">
      <c r="A491" s="6" t="s">
        <v>1363</v>
      </c>
      <c r="B491" s="6" t="s">
        <v>1364</v>
      </c>
      <c r="C491" s="6" t="s">
        <v>1365</v>
      </c>
      <c r="D491" s="6" t="s">
        <v>83</v>
      </c>
      <c r="E491" s="6" t="s">
        <v>38</v>
      </c>
      <c r="F491" s="6" t="s">
        <v>39</v>
      </c>
      <c r="G491" s="6">
        <v>5.0</v>
      </c>
      <c r="H491" s="6">
        <v>180.78</v>
      </c>
      <c r="I491" s="6">
        <v>332.08</v>
      </c>
      <c r="J491" s="6">
        <v>1.92</v>
      </c>
      <c r="K491" s="6" t="s">
        <v>44</v>
      </c>
      <c r="L491" s="6" t="s">
        <v>55</v>
      </c>
      <c r="M491" s="6">
        <f t="shared" si="1"/>
        <v>903.9</v>
      </c>
      <c r="N491" s="6">
        <f t="shared" si="2"/>
        <v>1628.52032</v>
      </c>
      <c r="O491" s="6">
        <f t="shared" si="3"/>
        <v>724.62032</v>
      </c>
      <c r="P491" s="7">
        <f t="shared" si="4"/>
        <v>0.4449562656</v>
      </c>
      <c r="Q491" s="6" t="s">
        <v>40</v>
      </c>
      <c r="R491" s="8">
        <f t="shared" si="5"/>
        <v>31.87968</v>
      </c>
    </row>
    <row r="492" ht="14.25" customHeight="1">
      <c r="A492" s="6" t="s">
        <v>1366</v>
      </c>
      <c r="B492" s="6" t="s">
        <v>1367</v>
      </c>
      <c r="C492" s="6" t="s">
        <v>1368</v>
      </c>
      <c r="D492" s="6" t="s">
        <v>21</v>
      </c>
      <c r="E492" s="6" t="s">
        <v>53</v>
      </c>
      <c r="F492" s="6" t="s">
        <v>54</v>
      </c>
      <c r="G492" s="6">
        <v>4.0</v>
      </c>
      <c r="H492" s="6">
        <v>221.5</v>
      </c>
      <c r="I492" s="6">
        <v>383.38</v>
      </c>
      <c r="J492" s="6">
        <v>23.39</v>
      </c>
      <c r="K492" s="6" t="s">
        <v>44</v>
      </c>
      <c r="L492" s="6" t="s">
        <v>25</v>
      </c>
      <c r="M492" s="6">
        <f t="shared" si="1"/>
        <v>886</v>
      </c>
      <c r="N492" s="6">
        <f t="shared" si="2"/>
        <v>1174.829672</v>
      </c>
      <c r="O492" s="6">
        <f t="shared" si="3"/>
        <v>288.829672</v>
      </c>
      <c r="P492" s="7">
        <f t="shared" si="4"/>
        <v>0.245848125</v>
      </c>
      <c r="Q492" s="6" t="s">
        <v>26</v>
      </c>
      <c r="R492" s="8">
        <f t="shared" si="5"/>
        <v>358.690328</v>
      </c>
    </row>
    <row r="493" ht="14.25" customHeight="1">
      <c r="A493" s="6" t="s">
        <v>1369</v>
      </c>
      <c r="B493" s="6" t="s">
        <v>1245</v>
      </c>
      <c r="C493" s="6" t="s">
        <v>1370</v>
      </c>
      <c r="D493" s="6" t="s">
        <v>30</v>
      </c>
      <c r="E493" s="6" t="s">
        <v>65</v>
      </c>
      <c r="F493" s="6" t="s">
        <v>75</v>
      </c>
      <c r="G493" s="6">
        <v>4.0</v>
      </c>
      <c r="H493" s="6">
        <v>143.22</v>
      </c>
      <c r="I493" s="6">
        <v>195.92</v>
      </c>
      <c r="J493" s="6">
        <v>9.96</v>
      </c>
      <c r="K493" s="6" t="s">
        <v>24</v>
      </c>
      <c r="L493" s="6" t="s">
        <v>55</v>
      </c>
      <c r="M493" s="6">
        <f t="shared" si="1"/>
        <v>572.88</v>
      </c>
      <c r="N493" s="6">
        <f t="shared" si="2"/>
        <v>705.625472</v>
      </c>
      <c r="O493" s="6">
        <f t="shared" si="3"/>
        <v>132.745472</v>
      </c>
      <c r="P493" s="7">
        <f t="shared" si="4"/>
        <v>0.1881245466</v>
      </c>
      <c r="Q493" s="6" t="s">
        <v>26</v>
      </c>
      <c r="R493" s="8">
        <f t="shared" si="5"/>
        <v>78.054528</v>
      </c>
    </row>
    <row r="494" ht="14.25" customHeight="1">
      <c r="A494" s="6" t="s">
        <v>1371</v>
      </c>
      <c r="B494" s="6" t="s">
        <v>606</v>
      </c>
      <c r="C494" s="6" t="s">
        <v>1372</v>
      </c>
      <c r="D494" s="6" t="s">
        <v>48</v>
      </c>
      <c r="E494" s="6" t="s">
        <v>65</v>
      </c>
      <c r="F494" s="6" t="s">
        <v>66</v>
      </c>
      <c r="G494" s="6">
        <v>3.0</v>
      </c>
      <c r="H494" s="6">
        <v>208.19</v>
      </c>
      <c r="I494" s="6">
        <v>333.53</v>
      </c>
      <c r="J494" s="6">
        <v>6.46</v>
      </c>
      <c r="K494" s="6" t="s">
        <v>24</v>
      </c>
      <c r="L494" s="6" t="s">
        <v>25</v>
      </c>
      <c r="M494" s="6">
        <f t="shared" si="1"/>
        <v>624.57</v>
      </c>
      <c r="N494" s="6">
        <f t="shared" si="2"/>
        <v>935.951886</v>
      </c>
      <c r="O494" s="6">
        <f t="shared" si="3"/>
        <v>311.381886</v>
      </c>
      <c r="P494" s="7">
        <f t="shared" si="4"/>
        <v>0.3326900567</v>
      </c>
      <c r="Q494" s="6" t="s">
        <v>26</v>
      </c>
      <c r="R494" s="8">
        <f t="shared" si="5"/>
        <v>64.638114</v>
      </c>
    </row>
    <row r="495" ht="14.25" customHeight="1">
      <c r="A495" s="6" t="s">
        <v>1373</v>
      </c>
      <c r="B495" s="6" t="s">
        <v>1374</v>
      </c>
      <c r="C495" s="6" t="s">
        <v>1375</v>
      </c>
      <c r="D495" s="6" t="s">
        <v>21</v>
      </c>
      <c r="E495" s="6" t="s">
        <v>87</v>
      </c>
      <c r="F495" s="6" t="s">
        <v>88</v>
      </c>
      <c r="G495" s="6">
        <v>5.0</v>
      </c>
      <c r="H495" s="6">
        <v>301.56</v>
      </c>
      <c r="I495" s="6">
        <v>490.59</v>
      </c>
      <c r="J495" s="6">
        <v>1.33</v>
      </c>
      <c r="K495" s="6" t="s">
        <v>24</v>
      </c>
      <c r="L495" s="6" t="s">
        <v>33</v>
      </c>
      <c r="M495" s="6">
        <f t="shared" si="1"/>
        <v>1507.8</v>
      </c>
      <c r="N495" s="6">
        <f t="shared" si="2"/>
        <v>2420.325765</v>
      </c>
      <c r="O495" s="6">
        <f t="shared" si="3"/>
        <v>912.525765</v>
      </c>
      <c r="P495" s="7">
        <f t="shared" si="4"/>
        <v>0.3770260096</v>
      </c>
      <c r="Q495" s="6" t="s">
        <v>49</v>
      </c>
      <c r="R495" s="8">
        <f t="shared" si="5"/>
        <v>32.624235</v>
      </c>
    </row>
    <row r="496" ht="14.25" customHeight="1">
      <c r="A496" s="6" t="s">
        <v>1376</v>
      </c>
      <c r="B496" s="6" t="s">
        <v>1188</v>
      </c>
      <c r="C496" s="6" t="s">
        <v>1377</v>
      </c>
      <c r="D496" s="6" t="s">
        <v>83</v>
      </c>
      <c r="E496" s="6" t="s">
        <v>22</v>
      </c>
      <c r="F496" s="6" t="s">
        <v>23</v>
      </c>
      <c r="G496" s="6">
        <v>7.0</v>
      </c>
      <c r="H496" s="6">
        <v>251.58</v>
      </c>
      <c r="I496" s="6">
        <v>414.81</v>
      </c>
      <c r="J496" s="6">
        <v>6.73</v>
      </c>
      <c r="K496" s="6" t="s">
        <v>24</v>
      </c>
      <c r="L496" s="6" t="s">
        <v>33</v>
      </c>
      <c r="M496" s="6">
        <f t="shared" si="1"/>
        <v>1761.06</v>
      </c>
      <c r="N496" s="6">
        <f t="shared" si="2"/>
        <v>2708.253009</v>
      </c>
      <c r="O496" s="6">
        <f t="shared" si="3"/>
        <v>947.193009</v>
      </c>
      <c r="P496" s="7">
        <f t="shared" si="4"/>
        <v>0.3497431761</v>
      </c>
      <c r="Q496" s="6" t="s">
        <v>40</v>
      </c>
      <c r="R496" s="8">
        <f t="shared" si="5"/>
        <v>195.416991</v>
      </c>
    </row>
    <row r="497" ht="14.25" customHeight="1">
      <c r="A497" s="6" t="s">
        <v>1378</v>
      </c>
      <c r="B497" s="6" t="s">
        <v>1032</v>
      </c>
      <c r="C497" s="6" t="s">
        <v>1379</v>
      </c>
      <c r="D497" s="6" t="s">
        <v>64</v>
      </c>
      <c r="E497" s="6" t="s">
        <v>65</v>
      </c>
      <c r="F497" s="6" t="s">
        <v>75</v>
      </c>
      <c r="G497" s="6">
        <v>4.0</v>
      </c>
      <c r="H497" s="6">
        <v>135.78</v>
      </c>
      <c r="I497" s="6">
        <v>201.81</v>
      </c>
      <c r="J497" s="6">
        <v>9.07</v>
      </c>
      <c r="K497" s="6" t="s">
        <v>44</v>
      </c>
      <c r="L497" s="6" t="s">
        <v>25</v>
      </c>
      <c r="M497" s="6">
        <f t="shared" si="1"/>
        <v>543.12</v>
      </c>
      <c r="N497" s="6">
        <f t="shared" si="2"/>
        <v>734.023332</v>
      </c>
      <c r="O497" s="6">
        <f t="shared" si="3"/>
        <v>190.903332</v>
      </c>
      <c r="P497" s="7">
        <f t="shared" si="4"/>
        <v>0.2600780162</v>
      </c>
      <c r="Q497" s="6" t="s">
        <v>76</v>
      </c>
      <c r="R497" s="8">
        <f t="shared" si="5"/>
        <v>73.216668</v>
      </c>
    </row>
    <row r="498" ht="14.25" customHeight="1">
      <c r="A498" s="6" t="s">
        <v>1380</v>
      </c>
      <c r="B498" s="6" t="s">
        <v>947</v>
      </c>
      <c r="C498" s="6" t="s">
        <v>1381</v>
      </c>
      <c r="D498" s="6" t="s">
        <v>64</v>
      </c>
      <c r="E498" s="6" t="s">
        <v>87</v>
      </c>
      <c r="F498" s="6" t="s">
        <v>88</v>
      </c>
      <c r="G498" s="6">
        <v>5.0</v>
      </c>
      <c r="H498" s="6">
        <v>125.84</v>
      </c>
      <c r="I498" s="6">
        <v>169.94</v>
      </c>
      <c r="J498" s="6">
        <v>22.18</v>
      </c>
      <c r="K498" s="6" t="s">
        <v>44</v>
      </c>
      <c r="L498" s="6" t="s">
        <v>55</v>
      </c>
      <c r="M498" s="6">
        <f t="shared" si="1"/>
        <v>629.2</v>
      </c>
      <c r="N498" s="6">
        <f t="shared" si="2"/>
        <v>661.23654</v>
      </c>
      <c r="O498" s="6">
        <f t="shared" si="3"/>
        <v>32.03654</v>
      </c>
      <c r="P498" s="7">
        <f t="shared" si="4"/>
        <v>0.04844943989</v>
      </c>
      <c r="Q498" s="6" t="s">
        <v>76</v>
      </c>
      <c r="R498" s="8">
        <f t="shared" si="5"/>
        <v>188.46346</v>
      </c>
    </row>
    <row r="499" ht="14.25" customHeight="1">
      <c r="A499" s="6" t="s">
        <v>1382</v>
      </c>
      <c r="B499" s="6" t="s">
        <v>1150</v>
      </c>
      <c r="C499" s="6" t="s">
        <v>1383</v>
      </c>
      <c r="D499" s="6" t="s">
        <v>70</v>
      </c>
      <c r="E499" s="6" t="s">
        <v>65</v>
      </c>
      <c r="F499" s="6" t="s">
        <v>66</v>
      </c>
      <c r="G499" s="6">
        <v>4.0</v>
      </c>
      <c r="H499" s="6">
        <v>179.72</v>
      </c>
      <c r="I499" s="6">
        <v>311.18</v>
      </c>
      <c r="J499" s="6">
        <v>0.49</v>
      </c>
      <c r="K499" s="6" t="s">
        <v>24</v>
      </c>
      <c r="L499" s="6" t="s">
        <v>33</v>
      </c>
      <c r="M499" s="6">
        <f t="shared" si="1"/>
        <v>718.88</v>
      </c>
      <c r="N499" s="6">
        <f t="shared" si="2"/>
        <v>1238.620872</v>
      </c>
      <c r="O499" s="6">
        <f t="shared" si="3"/>
        <v>519.740872</v>
      </c>
      <c r="P499" s="7">
        <f t="shared" si="4"/>
        <v>0.4196125576</v>
      </c>
      <c r="Q499" s="6" t="s">
        <v>49</v>
      </c>
      <c r="R499" s="8">
        <f t="shared" si="5"/>
        <v>6.099128</v>
      </c>
    </row>
    <row r="500" ht="14.25" customHeight="1">
      <c r="A500" s="6" t="s">
        <v>1384</v>
      </c>
      <c r="B500" s="6" t="s">
        <v>1385</v>
      </c>
      <c r="C500" s="6" t="s">
        <v>1386</v>
      </c>
      <c r="D500" s="6" t="s">
        <v>21</v>
      </c>
      <c r="E500" s="6" t="s">
        <v>31</v>
      </c>
      <c r="F500" s="6" t="s">
        <v>32</v>
      </c>
      <c r="G500" s="6">
        <v>3.0</v>
      </c>
      <c r="H500" s="6">
        <v>159.64</v>
      </c>
      <c r="I500" s="6">
        <v>215.55</v>
      </c>
      <c r="J500" s="6">
        <v>20.67</v>
      </c>
      <c r="K500" s="6" t="s">
        <v>44</v>
      </c>
      <c r="L500" s="6" t="s">
        <v>61</v>
      </c>
      <c r="M500" s="6">
        <f t="shared" si="1"/>
        <v>478.92</v>
      </c>
      <c r="N500" s="6">
        <f t="shared" si="2"/>
        <v>512.987445</v>
      </c>
      <c r="O500" s="6">
        <f t="shared" si="3"/>
        <v>34.067445</v>
      </c>
      <c r="P500" s="7">
        <f t="shared" si="4"/>
        <v>0.06640990015</v>
      </c>
      <c r="Q500" s="6" t="s">
        <v>40</v>
      </c>
      <c r="R500" s="8">
        <f t="shared" si="5"/>
        <v>133.662555</v>
      </c>
    </row>
    <row r="501" ht="14.25" customHeight="1">
      <c r="A501" s="6" t="s">
        <v>1387</v>
      </c>
      <c r="B501" s="6" t="s">
        <v>1388</v>
      </c>
      <c r="C501" s="6" t="s">
        <v>1389</v>
      </c>
      <c r="D501" s="6" t="s">
        <v>83</v>
      </c>
      <c r="E501" s="6" t="s">
        <v>104</v>
      </c>
      <c r="F501" s="6" t="s">
        <v>105</v>
      </c>
      <c r="G501" s="6">
        <v>1.0</v>
      </c>
      <c r="H501" s="6">
        <v>296.65</v>
      </c>
      <c r="I501" s="6">
        <v>584.25</v>
      </c>
      <c r="J501" s="6">
        <v>24.31</v>
      </c>
      <c r="K501" s="6" t="s">
        <v>44</v>
      </c>
      <c r="L501" s="6" t="s">
        <v>61</v>
      </c>
      <c r="M501" s="6">
        <f t="shared" si="1"/>
        <v>296.65</v>
      </c>
      <c r="N501" s="6">
        <f t="shared" si="2"/>
        <v>442.218825</v>
      </c>
      <c r="O501" s="6">
        <f t="shared" si="3"/>
        <v>145.568825</v>
      </c>
      <c r="P501" s="7">
        <f t="shared" si="4"/>
        <v>0.3291782637</v>
      </c>
      <c r="Q501" s="6" t="s">
        <v>49</v>
      </c>
      <c r="R501" s="8">
        <f t="shared" si="5"/>
        <v>142.031175</v>
      </c>
    </row>
    <row r="502" ht="14.25" customHeight="1">
      <c r="A502" s="6" t="s">
        <v>1390</v>
      </c>
      <c r="B502" s="6" t="s">
        <v>801</v>
      </c>
      <c r="C502" s="6" t="s">
        <v>1391</v>
      </c>
      <c r="D502" s="6" t="s">
        <v>64</v>
      </c>
      <c r="E502" s="6" t="s">
        <v>31</v>
      </c>
      <c r="F502" s="6" t="s">
        <v>32</v>
      </c>
      <c r="G502" s="6">
        <v>8.0</v>
      </c>
      <c r="H502" s="6">
        <v>251.5</v>
      </c>
      <c r="I502" s="6">
        <v>352.52</v>
      </c>
      <c r="J502" s="6">
        <v>9.1</v>
      </c>
      <c r="K502" s="6" t="s">
        <v>24</v>
      </c>
      <c r="L502" s="6" t="s">
        <v>55</v>
      </c>
      <c r="M502" s="6">
        <f t="shared" si="1"/>
        <v>2012</v>
      </c>
      <c r="N502" s="6">
        <f t="shared" si="2"/>
        <v>2563.52544</v>
      </c>
      <c r="O502" s="6">
        <f t="shared" si="3"/>
        <v>551.52544</v>
      </c>
      <c r="P502" s="7">
        <f t="shared" si="4"/>
        <v>0.2151433457</v>
      </c>
      <c r="Q502" s="6" t="s">
        <v>26</v>
      </c>
      <c r="R502" s="8">
        <f t="shared" si="5"/>
        <v>256.63456</v>
      </c>
    </row>
    <row r="503" ht="14.25" customHeight="1">
      <c r="A503" s="6" t="s">
        <v>1392</v>
      </c>
      <c r="B503" s="6" t="s">
        <v>1393</v>
      </c>
      <c r="C503" s="6" t="s">
        <v>1394</v>
      </c>
      <c r="D503" s="6" t="s">
        <v>30</v>
      </c>
      <c r="E503" s="6" t="s">
        <v>31</v>
      </c>
      <c r="F503" s="6" t="s">
        <v>32</v>
      </c>
      <c r="G503" s="6">
        <v>5.0</v>
      </c>
      <c r="H503" s="6">
        <v>384.52</v>
      </c>
      <c r="I503" s="6">
        <v>456.78</v>
      </c>
      <c r="J503" s="6">
        <v>13.12</v>
      </c>
      <c r="K503" s="6" t="s">
        <v>44</v>
      </c>
      <c r="L503" s="6" t="s">
        <v>55</v>
      </c>
      <c r="M503" s="6">
        <f t="shared" si="1"/>
        <v>1922.6</v>
      </c>
      <c r="N503" s="6">
        <f t="shared" si="2"/>
        <v>1984.25232</v>
      </c>
      <c r="O503" s="6">
        <f t="shared" si="3"/>
        <v>61.65232</v>
      </c>
      <c r="P503" s="7">
        <f t="shared" si="4"/>
        <v>0.03107080656</v>
      </c>
      <c r="Q503" s="6" t="s">
        <v>76</v>
      </c>
      <c r="R503" s="8">
        <f t="shared" si="5"/>
        <v>299.64768</v>
      </c>
    </row>
    <row r="504" ht="14.25" customHeight="1">
      <c r="A504" s="6" t="s">
        <v>1395</v>
      </c>
      <c r="B504" s="6" t="s">
        <v>532</v>
      </c>
      <c r="C504" s="6" t="s">
        <v>1396</v>
      </c>
      <c r="D504" s="6" t="s">
        <v>83</v>
      </c>
      <c r="E504" s="6" t="s">
        <v>87</v>
      </c>
      <c r="F504" s="6" t="s">
        <v>88</v>
      </c>
      <c r="G504" s="6">
        <v>7.0</v>
      </c>
      <c r="H504" s="6">
        <v>342.58</v>
      </c>
      <c r="I504" s="6">
        <v>508.92</v>
      </c>
      <c r="J504" s="6">
        <v>8.07</v>
      </c>
      <c r="K504" s="6" t="s">
        <v>44</v>
      </c>
      <c r="L504" s="6" t="s">
        <v>61</v>
      </c>
      <c r="M504" s="6">
        <f t="shared" si="1"/>
        <v>2398.06</v>
      </c>
      <c r="N504" s="6">
        <f t="shared" si="2"/>
        <v>3274.951092</v>
      </c>
      <c r="O504" s="6">
        <f t="shared" si="3"/>
        <v>876.891092</v>
      </c>
      <c r="P504" s="7">
        <f t="shared" si="4"/>
        <v>0.2677570038</v>
      </c>
      <c r="Q504" s="6" t="s">
        <v>40</v>
      </c>
      <c r="R504" s="8">
        <f t="shared" si="5"/>
        <v>287.488908</v>
      </c>
    </row>
    <row r="505" ht="14.25" customHeight="1">
      <c r="A505" s="6" t="s">
        <v>1397</v>
      </c>
      <c r="B505" s="6" t="s">
        <v>1398</v>
      </c>
      <c r="C505" s="6" t="s">
        <v>1399</v>
      </c>
      <c r="D505" s="6" t="s">
        <v>64</v>
      </c>
      <c r="E505" s="6" t="s">
        <v>38</v>
      </c>
      <c r="F505" s="6" t="s">
        <v>39</v>
      </c>
      <c r="G505" s="6">
        <v>3.0</v>
      </c>
      <c r="H505" s="6">
        <v>419.71</v>
      </c>
      <c r="I505" s="6">
        <v>561.59</v>
      </c>
      <c r="J505" s="6">
        <v>14.84</v>
      </c>
      <c r="K505" s="6" t="s">
        <v>24</v>
      </c>
      <c r="L505" s="6" t="s">
        <v>33</v>
      </c>
      <c r="M505" s="6">
        <f t="shared" si="1"/>
        <v>1259.13</v>
      </c>
      <c r="N505" s="6">
        <f t="shared" si="2"/>
        <v>1434.750132</v>
      </c>
      <c r="O505" s="6">
        <f t="shared" si="3"/>
        <v>175.620132</v>
      </c>
      <c r="P505" s="7">
        <f t="shared" si="4"/>
        <v>0.1224046808</v>
      </c>
      <c r="Q505" s="6" t="s">
        <v>76</v>
      </c>
      <c r="R505" s="8">
        <f t="shared" si="5"/>
        <v>250.019868</v>
      </c>
    </row>
    <row r="506" ht="14.25" customHeight="1">
      <c r="A506" s="6" t="s">
        <v>1400</v>
      </c>
      <c r="B506" s="6" t="s">
        <v>556</v>
      </c>
      <c r="C506" s="6" t="s">
        <v>1401</v>
      </c>
      <c r="D506" s="6" t="s">
        <v>70</v>
      </c>
      <c r="E506" s="6" t="s">
        <v>65</v>
      </c>
      <c r="F506" s="6" t="s">
        <v>66</v>
      </c>
      <c r="G506" s="6">
        <v>3.0</v>
      </c>
      <c r="H506" s="6">
        <v>151.55</v>
      </c>
      <c r="I506" s="6">
        <v>208.85</v>
      </c>
      <c r="J506" s="6">
        <v>6.2</v>
      </c>
      <c r="K506" s="6" t="s">
        <v>44</v>
      </c>
      <c r="L506" s="6" t="s">
        <v>55</v>
      </c>
      <c r="M506" s="6">
        <f t="shared" si="1"/>
        <v>454.65</v>
      </c>
      <c r="N506" s="6">
        <f t="shared" si="2"/>
        <v>587.7039</v>
      </c>
      <c r="O506" s="6">
        <f t="shared" si="3"/>
        <v>133.0539</v>
      </c>
      <c r="P506" s="7">
        <f t="shared" si="4"/>
        <v>0.2263961495</v>
      </c>
      <c r="Q506" s="6" t="s">
        <v>76</v>
      </c>
      <c r="R506" s="8">
        <f t="shared" si="5"/>
        <v>38.8461</v>
      </c>
    </row>
    <row r="507" ht="14.25" customHeight="1">
      <c r="A507" s="6" t="s">
        <v>1402</v>
      </c>
      <c r="B507" s="6" t="s">
        <v>1403</v>
      </c>
      <c r="C507" s="6" t="s">
        <v>1404</v>
      </c>
      <c r="D507" s="6" t="s">
        <v>64</v>
      </c>
      <c r="E507" s="6" t="s">
        <v>104</v>
      </c>
      <c r="F507" s="6" t="s">
        <v>105</v>
      </c>
      <c r="G507" s="6">
        <v>1.0</v>
      </c>
      <c r="H507" s="6">
        <v>58.7</v>
      </c>
      <c r="I507" s="6">
        <v>80.28</v>
      </c>
      <c r="J507" s="6">
        <v>8.04</v>
      </c>
      <c r="K507" s="6" t="s">
        <v>24</v>
      </c>
      <c r="L507" s="6" t="s">
        <v>25</v>
      </c>
      <c r="M507" s="6">
        <f t="shared" si="1"/>
        <v>58.7</v>
      </c>
      <c r="N507" s="6">
        <f t="shared" si="2"/>
        <v>73.825488</v>
      </c>
      <c r="O507" s="6">
        <f t="shared" si="3"/>
        <v>15.125488</v>
      </c>
      <c r="P507" s="7">
        <f t="shared" si="4"/>
        <v>0.2048816528</v>
      </c>
      <c r="Q507" s="6" t="s">
        <v>34</v>
      </c>
      <c r="R507" s="8">
        <f t="shared" si="5"/>
        <v>6.454512</v>
      </c>
    </row>
    <row r="508" ht="14.25" customHeight="1">
      <c r="A508" s="6" t="s">
        <v>1405</v>
      </c>
      <c r="B508" s="6" t="s">
        <v>745</v>
      </c>
      <c r="C508" s="6" t="s">
        <v>1406</v>
      </c>
      <c r="D508" s="6" t="s">
        <v>70</v>
      </c>
      <c r="E508" s="6" t="s">
        <v>22</v>
      </c>
      <c r="F508" s="6" t="s">
        <v>23</v>
      </c>
      <c r="G508" s="6">
        <v>2.0</v>
      </c>
      <c r="H508" s="6">
        <v>127.75</v>
      </c>
      <c r="I508" s="6">
        <v>216.12</v>
      </c>
      <c r="J508" s="6">
        <v>11.16</v>
      </c>
      <c r="K508" s="6" t="s">
        <v>24</v>
      </c>
      <c r="L508" s="6" t="s">
        <v>33</v>
      </c>
      <c r="M508" s="6">
        <f t="shared" si="1"/>
        <v>255.5</v>
      </c>
      <c r="N508" s="6">
        <f t="shared" si="2"/>
        <v>384.002016</v>
      </c>
      <c r="O508" s="6">
        <f t="shared" si="3"/>
        <v>128.502016</v>
      </c>
      <c r="P508" s="7">
        <f t="shared" si="4"/>
        <v>0.3346389098</v>
      </c>
      <c r="Q508" s="6" t="s">
        <v>49</v>
      </c>
      <c r="R508" s="8">
        <f t="shared" si="5"/>
        <v>48.237984</v>
      </c>
    </row>
    <row r="509" ht="14.25" customHeight="1">
      <c r="A509" s="6" t="s">
        <v>1407</v>
      </c>
      <c r="B509" s="6" t="s">
        <v>819</v>
      </c>
      <c r="C509" s="6" t="s">
        <v>1408</v>
      </c>
      <c r="D509" s="6" t="s">
        <v>64</v>
      </c>
      <c r="E509" s="6" t="s">
        <v>22</v>
      </c>
      <c r="F509" s="6" t="s">
        <v>23</v>
      </c>
      <c r="G509" s="6">
        <v>8.0</v>
      </c>
      <c r="H509" s="6">
        <v>316.97</v>
      </c>
      <c r="I509" s="6">
        <v>482.87</v>
      </c>
      <c r="J509" s="6">
        <v>1.96</v>
      </c>
      <c r="K509" s="6" t="s">
        <v>44</v>
      </c>
      <c r="L509" s="6" t="s">
        <v>33</v>
      </c>
      <c r="M509" s="6">
        <f t="shared" si="1"/>
        <v>2535.76</v>
      </c>
      <c r="N509" s="6">
        <f t="shared" si="2"/>
        <v>3787.245984</v>
      </c>
      <c r="O509" s="6">
        <f t="shared" si="3"/>
        <v>1251.485984</v>
      </c>
      <c r="P509" s="7">
        <f t="shared" si="4"/>
        <v>0.3304475044</v>
      </c>
      <c r="Q509" s="6" t="s">
        <v>40</v>
      </c>
      <c r="R509" s="8">
        <f t="shared" si="5"/>
        <v>75.714016</v>
      </c>
    </row>
    <row r="510" ht="14.25" customHeight="1">
      <c r="A510" s="6" t="s">
        <v>1409</v>
      </c>
      <c r="B510" s="6" t="s">
        <v>275</v>
      </c>
      <c r="C510" s="6" t="s">
        <v>1410</v>
      </c>
      <c r="D510" s="6" t="s">
        <v>70</v>
      </c>
      <c r="E510" s="6" t="s">
        <v>38</v>
      </c>
      <c r="F510" s="6" t="s">
        <v>39</v>
      </c>
      <c r="G510" s="6">
        <v>1.0</v>
      </c>
      <c r="H510" s="6">
        <v>140.27</v>
      </c>
      <c r="I510" s="6">
        <v>183.95</v>
      </c>
      <c r="J510" s="6">
        <v>4.02</v>
      </c>
      <c r="K510" s="6" t="s">
        <v>24</v>
      </c>
      <c r="L510" s="6" t="s">
        <v>33</v>
      </c>
      <c r="M510" s="6">
        <f t="shared" si="1"/>
        <v>140.27</v>
      </c>
      <c r="N510" s="6">
        <f t="shared" si="2"/>
        <v>176.55521</v>
      </c>
      <c r="O510" s="6">
        <f t="shared" si="3"/>
        <v>36.28521</v>
      </c>
      <c r="P510" s="7">
        <f t="shared" si="4"/>
        <v>0.2055176395</v>
      </c>
      <c r="Q510" s="6" t="s">
        <v>49</v>
      </c>
      <c r="R510" s="8">
        <f t="shared" si="5"/>
        <v>7.39479</v>
      </c>
    </row>
    <row r="511" ht="14.25" customHeight="1">
      <c r="A511" s="6" t="s">
        <v>1411</v>
      </c>
      <c r="B511" s="6" t="s">
        <v>1412</v>
      </c>
      <c r="C511" s="6" t="s">
        <v>1413</v>
      </c>
      <c r="D511" s="6" t="s">
        <v>30</v>
      </c>
      <c r="E511" s="6" t="s">
        <v>22</v>
      </c>
      <c r="F511" s="6" t="s">
        <v>23</v>
      </c>
      <c r="G511" s="6">
        <v>7.0</v>
      </c>
      <c r="H511" s="6">
        <v>59.05</v>
      </c>
      <c r="I511" s="6">
        <v>86.16</v>
      </c>
      <c r="J511" s="6">
        <v>6.87</v>
      </c>
      <c r="K511" s="6" t="s">
        <v>24</v>
      </c>
      <c r="L511" s="6" t="s">
        <v>33</v>
      </c>
      <c r="M511" s="6">
        <f t="shared" si="1"/>
        <v>413.35</v>
      </c>
      <c r="N511" s="6">
        <f t="shared" si="2"/>
        <v>561.685656</v>
      </c>
      <c r="O511" s="6">
        <f t="shared" si="3"/>
        <v>148.335656</v>
      </c>
      <c r="P511" s="7">
        <f t="shared" si="4"/>
        <v>0.2640901622</v>
      </c>
      <c r="Q511" s="6" t="s">
        <v>49</v>
      </c>
      <c r="R511" s="8">
        <f t="shared" si="5"/>
        <v>41.434344</v>
      </c>
    </row>
    <row r="512" ht="14.25" customHeight="1">
      <c r="A512" s="6" t="s">
        <v>1414</v>
      </c>
      <c r="B512" s="6" t="s">
        <v>517</v>
      </c>
      <c r="C512" s="6" t="s">
        <v>1415</v>
      </c>
      <c r="D512" s="6" t="s">
        <v>48</v>
      </c>
      <c r="E512" s="6" t="s">
        <v>38</v>
      </c>
      <c r="F512" s="6" t="s">
        <v>71</v>
      </c>
      <c r="G512" s="6">
        <v>8.0</v>
      </c>
      <c r="H512" s="6">
        <v>75.21</v>
      </c>
      <c r="I512" s="6">
        <v>137.36</v>
      </c>
      <c r="J512" s="6">
        <v>19.06</v>
      </c>
      <c r="K512" s="6" t="s">
        <v>44</v>
      </c>
      <c r="L512" s="6" t="s">
        <v>25</v>
      </c>
      <c r="M512" s="6">
        <f t="shared" si="1"/>
        <v>601.68</v>
      </c>
      <c r="N512" s="6">
        <f t="shared" si="2"/>
        <v>889.433472</v>
      </c>
      <c r="O512" s="6">
        <f t="shared" si="3"/>
        <v>287.753472</v>
      </c>
      <c r="P512" s="7">
        <f t="shared" si="4"/>
        <v>0.3235244468</v>
      </c>
      <c r="Q512" s="6" t="s">
        <v>40</v>
      </c>
      <c r="R512" s="8">
        <f t="shared" si="5"/>
        <v>209.446528</v>
      </c>
    </row>
    <row r="513" ht="14.25" customHeight="1">
      <c r="A513" s="6" t="s">
        <v>1416</v>
      </c>
      <c r="B513" s="6" t="s">
        <v>1119</v>
      </c>
      <c r="C513" s="6" t="s">
        <v>1417</v>
      </c>
      <c r="D513" s="6" t="s">
        <v>64</v>
      </c>
      <c r="E513" s="6" t="s">
        <v>104</v>
      </c>
      <c r="F513" s="6" t="s">
        <v>105</v>
      </c>
      <c r="G513" s="6">
        <v>2.0</v>
      </c>
      <c r="H513" s="6">
        <v>86.3</v>
      </c>
      <c r="I513" s="6">
        <v>111.01</v>
      </c>
      <c r="J513" s="6">
        <v>14.88</v>
      </c>
      <c r="K513" s="6" t="s">
        <v>44</v>
      </c>
      <c r="L513" s="6" t="s">
        <v>61</v>
      </c>
      <c r="M513" s="6">
        <f t="shared" si="1"/>
        <v>172.6</v>
      </c>
      <c r="N513" s="6">
        <f t="shared" si="2"/>
        <v>188.983424</v>
      </c>
      <c r="O513" s="6">
        <f t="shared" si="3"/>
        <v>16.383424</v>
      </c>
      <c r="P513" s="7">
        <f t="shared" si="4"/>
        <v>0.08669238631</v>
      </c>
      <c r="Q513" s="6" t="s">
        <v>40</v>
      </c>
      <c r="R513" s="8">
        <f t="shared" si="5"/>
        <v>33.036576</v>
      </c>
    </row>
    <row r="514" ht="14.25" customHeight="1">
      <c r="A514" s="6" t="s">
        <v>1418</v>
      </c>
      <c r="B514" s="6" t="s">
        <v>206</v>
      </c>
      <c r="C514" s="6" t="s">
        <v>1419</v>
      </c>
      <c r="D514" s="6" t="s">
        <v>30</v>
      </c>
      <c r="E514" s="6" t="s">
        <v>38</v>
      </c>
      <c r="F514" s="6" t="s">
        <v>39</v>
      </c>
      <c r="G514" s="6">
        <v>7.0</v>
      </c>
      <c r="H514" s="6">
        <v>276.81</v>
      </c>
      <c r="I514" s="6">
        <v>489.74</v>
      </c>
      <c r="J514" s="6">
        <v>18.73</v>
      </c>
      <c r="K514" s="6" t="s">
        <v>44</v>
      </c>
      <c r="L514" s="6" t="s">
        <v>55</v>
      </c>
      <c r="M514" s="6">
        <f t="shared" si="1"/>
        <v>1937.67</v>
      </c>
      <c r="N514" s="6">
        <f t="shared" si="2"/>
        <v>2786.081886</v>
      </c>
      <c r="O514" s="6">
        <f t="shared" si="3"/>
        <v>848.411886</v>
      </c>
      <c r="P514" s="7">
        <f t="shared" si="4"/>
        <v>0.304517929</v>
      </c>
      <c r="Q514" s="6" t="s">
        <v>26</v>
      </c>
      <c r="R514" s="8">
        <f t="shared" si="5"/>
        <v>642.098114</v>
      </c>
    </row>
    <row r="515" ht="14.25" customHeight="1">
      <c r="A515" s="6" t="s">
        <v>1420</v>
      </c>
      <c r="B515" s="6" t="s">
        <v>843</v>
      </c>
      <c r="C515" s="6" t="s">
        <v>1421</v>
      </c>
      <c r="D515" s="6" t="s">
        <v>83</v>
      </c>
      <c r="E515" s="6" t="s">
        <v>31</v>
      </c>
      <c r="F515" s="6" t="s">
        <v>32</v>
      </c>
      <c r="G515" s="6">
        <v>1.0</v>
      </c>
      <c r="H515" s="6">
        <v>74.02</v>
      </c>
      <c r="I515" s="6">
        <v>131.9</v>
      </c>
      <c r="J515" s="6">
        <v>0.99</v>
      </c>
      <c r="K515" s="6" t="s">
        <v>24</v>
      </c>
      <c r="L515" s="6" t="s">
        <v>61</v>
      </c>
      <c r="M515" s="6">
        <f t="shared" si="1"/>
        <v>74.02</v>
      </c>
      <c r="N515" s="6">
        <f t="shared" si="2"/>
        <v>130.59419</v>
      </c>
      <c r="O515" s="6">
        <f t="shared" si="3"/>
        <v>56.57419</v>
      </c>
      <c r="P515" s="7">
        <f t="shared" si="4"/>
        <v>0.4332060255</v>
      </c>
      <c r="Q515" s="6" t="s">
        <v>49</v>
      </c>
      <c r="R515" s="8">
        <f t="shared" si="5"/>
        <v>1.30581</v>
      </c>
    </row>
    <row r="516" ht="14.25" customHeight="1">
      <c r="A516" s="6" t="s">
        <v>1422</v>
      </c>
      <c r="B516" s="6" t="s">
        <v>959</v>
      </c>
      <c r="C516" s="6" t="s">
        <v>1423</v>
      </c>
      <c r="D516" s="6" t="s">
        <v>21</v>
      </c>
      <c r="E516" s="6" t="s">
        <v>31</v>
      </c>
      <c r="F516" s="6" t="s">
        <v>32</v>
      </c>
      <c r="G516" s="6">
        <v>4.0</v>
      </c>
      <c r="H516" s="6">
        <v>168.02</v>
      </c>
      <c r="I516" s="6">
        <v>325.74</v>
      </c>
      <c r="J516" s="6">
        <v>0.43</v>
      </c>
      <c r="K516" s="6" t="s">
        <v>44</v>
      </c>
      <c r="L516" s="6" t="s">
        <v>33</v>
      </c>
      <c r="M516" s="6">
        <f t="shared" si="1"/>
        <v>672.08</v>
      </c>
      <c r="N516" s="6">
        <f t="shared" si="2"/>
        <v>1297.357272</v>
      </c>
      <c r="O516" s="6">
        <f t="shared" si="3"/>
        <v>625.277272</v>
      </c>
      <c r="P516" s="7">
        <f t="shared" si="4"/>
        <v>0.4819622825</v>
      </c>
      <c r="Q516" s="6" t="s">
        <v>49</v>
      </c>
      <c r="R516" s="8">
        <f t="shared" si="5"/>
        <v>5.602728</v>
      </c>
    </row>
    <row r="517" ht="14.25" customHeight="1">
      <c r="A517" s="6" t="s">
        <v>1424</v>
      </c>
      <c r="B517" s="6" t="s">
        <v>1425</v>
      </c>
      <c r="C517" s="6" t="s">
        <v>1426</v>
      </c>
      <c r="D517" s="6" t="s">
        <v>64</v>
      </c>
      <c r="E517" s="6" t="s">
        <v>104</v>
      </c>
      <c r="F517" s="6" t="s">
        <v>105</v>
      </c>
      <c r="G517" s="6">
        <v>1.0</v>
      </c>
      <c r="H517" s="6">
        <v>346.41</v>
      </c>
      <c r="I517" s="6">
        <v>473.68</v>
      </c>
      <c r="J517" s="6">
        <v>11.32</v>
      </c>
      <c r="K517" s="6" t="s">
        <v>24</v>
      </c>
      <c r="L517" s="6" t="s">
        <v>33</v>
      </c>
      <c r="M517" s="6">
        <f t="shared" si="1"/>
        <v>346.41</v>
      </c>
      <c r="N517" s="6">
        <f t="shared" si="2"/>
        <v>420.059424</v>
      </c>
      <c r="O517" s="6">
        <f t="shared" si="3"/>
        <v>73.649424</v>
      </c>
      <c r="P517" s="7">
        <f t="shared" si="4"/>
        <v>0.1753309646</v>
      </c>
      <c r="Q517" s="6" t="s">
        <v>76</v>
      </c>
      <c r="R517" s="8">
        <f t="shared" si="5"/>
        <v>53.620576</v>
      </c>
    </row>
    <row r="518" ht="14.25" customHeight="1">
      <c r="A518" s="6" t="s">
        <v>1427</v>
      </c>
      <c r="B518" s="6" t="s">
        <v>429</v>
      </c>
      <c r="C518" s="6" t="s">
        <v>1428</v>
      </c>
      <c r="D518" s="6" t="s">
        <v>30</v>
      </c>
      <c r="E518" s="6" t="s">
        <v>53</v>
      </c>
      <c r="F518" s="6" t="s">
        <v>54</v>
      </c>
      <c r="G518" s="6">
        <v>8.0</v>
      </c>
      <c r="H518" s="6">
        <v>93.57</v>
      </c>
      <c r="I518" s="6">
        <v>183.83</v>
      </c>
      <c r="J518" s="6">
        <v>4.27</v>
      </c>
      <c r="K518" s="6" t="s">
        <v>24</v>
      </c>
      <c r="L518" s="6" t="s">
        <v>25</v>
      </c>
      <c r="M518" s="6">
        <f t="shared" si="1"/>
        <v>748.56</v>
      </c>
      <c r="N518" s="6">
        <f t="shared" si="2"/>
        <v>1407.843672</v>
      </c>
      <c r="O518" s="6">
        <f t="shared" si="3"/>
        <v>659.283672</v>
      </c>
      <c r="P518" s="7">
        <f t="shared" si="4"/>
        <v>0.4682932382</v>
      </c>
      <c r="Q518" s="6" t="s">
        <v>40</v>
      </c>
      <c r="R518" s="8">
        <f t="shared" si="5"/>
        <v>62.796328</v>
      </c>
    </row>
    <row r="519" ht="14.25" customHeight="1">
      <c r="A519" s="6" t="s">
        <v>1429</v>
      </c>
      <c r="B519" s="6" t="s">
        <v>771</v>
      </c>
      <c r="C519" s="6" t="s">
        <v>1430</v>
      </c>
      <c r="D519" s="6" t="s">
        <v>48</v>
      </c>
      <c r="E519" s="6" t="s">
        <v>87</v>
      </c>
      <c r="F519" s="6" t="s">
        <v>88</v>
      </c>
      <c r="G519" s="6">
        <v>1.0</v>
      </c>
      <c r="H519" s="6">
        <v>203.55</v>
      </c>
      <c r="I519" s="6">
        <v>257.51</v>
      </c>
      <c r="J519" s="6">
        <v>24.11</v>
      </c>
      <c r="K519" s="6" t="s">
        <v>24</v>
      </c>
      <c r="L519" s="6" t="s">
        <v>25</v>
      </c>
      <c r="M519" s="6">
        <f t="shared" si="1"/>
        <v>203.55</v>
      </c>
      <c r="N519" s="6">
        <f t="shared" si="2"/>
        <v>195.424339</v>
      </c>
      <c r="O519" s="6">
        <f t="shared" si="3"/>
        <v>-8.125661</v>
      </c>
      <c r="P519" s="7">
        <f t="shared" si="4"/>
        <v>-0.0415795752</v>
      </c>
      <c r="Q519" s="6" t="s">
        <v>49</v>
      </c>
      <c r="R519" s="8">
        <f t="shared" si="5"/>
        <v>62.085661</v>
      </c>
    </row>
    <row r="520" ht="14.25" customHeight="1">
      <c r="A520" s="6" t="s">
        <v>1431</v>
      </c>
      <c r="B520" s="6" t="s">
        <v>623</v>
      </c>
      <c r="C520" s="6" t="s">
        <v>1432</v>
      </c>
      <c r="D520" s="6" t="s">
        <v>83</v>
      </c>
      <c r="E520" s="6" t="s">
        <v>53</v>
      </c>
      <c r="F520" s="6" t="s">
        <v>54</v>
      </c>
      <c r="G520" s="6">
        <v>6.0</v>
      </c>
      <c r="H520" s="6">
        <v>252.93</v>
      </c>
      <c r="I520" s="6">
        <v>356.79</v>
      </c>
      <c r="J520" s="6">
        <v>4.21</v>
      </c>
      <c r="K520" s="6" t="s">
        <v>24</v>
      </c>
      <c r="L520" s="6" t="s">
        <v>25</v>
      </c>
      <c r="M520" s="6">
        <f t="shared" si="1"/>
        <v>1517.58</v>
      </c>
      <c r="N520" s="6">
        <f t="shared" si="2"/>
        <v>2050.614846</v>
      </c>
      <c r="O520" s="6">
        <f t="shared" si="3"/>
        <v>533.034846</v>
      </c>
      <c r="P520" s="7">
        <f t="shared" si="4"/>
        <v>0.2599390359</v>
      </c>
      <c r="Q520" s="6" t="s">
        <v>76</v>
      </c>
      <c r="R520" s="8">
        <f t="shared" si="5"/>
        <v>90.125154</v>
      </c>
    </row>
    <row r="521" ht="14.25" customHeight="1">
      <c r="A521" s="6" t="s">
        <v>1433</v>
      </c>
      <c r="B521" s="6" t="s">
        <v>153</v>
      </c>
      <c r="C521" s="6" t="s">
        <v>1434</v>
      </c>
      <c r="D521" s="6" t="s">
        <v>30</v>
      </c>
      <c r="E521" s="6" t="s">
        <v>22</v>
      </c>
      <c r="F521" s="6" t="s">
        <v>23</v>
      </c>
      <c r="G521" s="6">
        <v>6.0</v>
      </c>
      <c r="H521" s="6">
        <v>100.89</v>
      </c>
      <c r="I521" s="6">
        <v>146.18</v>
      </c>
      <c r="J521" s="6">
        <v>14.14</v>
      </c>
      <c r="K521" s="6" t="s">
        <v>24</v>
      </c>
      <c r="L521" s="6" t="s">
        <v>33</v>
      </c>
      <c r="M521" s="6">
        <f t="shared" si="1"/>
        <v>605.34</v>
      </c>
      <c r="N521" s="6">
        <f t="shared" si="2"/>
        <v>753.060888</v>
      </c>
      <c r="O521" s="6">
        <f t="shared" si="3"/>
        <v>147.720888</v>
      </c>
      <c r="P521" s="7">
        <f t="shared" si="4"/>
        <v>0.1961606164</v>
      </c>
      <c r="Q521" s="6" t="s">
        <v>34</v>
      </c>
      <c r="R521" s="8">
        <f t="shared" si="5"/>
        <v>124.019112</v>
      </c>
    </row>
    <row r="522" ht="14.25" customHeight="1">
      <c r="A522" s="6" t="s">
        <v>1435</v>
      </c>
      <c r="B522" s="6" t="s">
        <v>322</v>
      </c>
      <c r="C522" s="6" t="s">
        <v>1436</v>
      </c>
      <c r="D522" s="6" t="s">
        <v>64</v>
      </c>
      <c r="E522" s="6" t="s">
        <v>38</v>
      </c>
      <c r="F522" s="6" t="s">
        <v>39</v>
      </c>
      <c r="G522" s="6">
        <v>3.0</v>
      </c>
      <c r="H522" s="6">
        <v>85.69</v>
      </c>
      <c r="I522" s="6">
        <v>141.23</v>
      </c>
      <c r="J522" s="6">
        <v>9.36</v>
      </c>
      <c r="K522" s="6" t="s">
        <v>44</v>
      </c>
      <c r="L522" s="6" t="s">
        <v>33</v>
      </c>
      <c r="M522" s="6">
        <f t="shared" si="1"/>
        <v>257.07</v>
      </c>
      <c r="N522" s="6">
        <f t="shared" si="2"/>
        <v>384.032616</v>
      </c>
      <c r="O522" s="6">
        <f t="shared" si="3"/>
        <v>126.962616</v>
      </c>
      <c r="P522" s="7">
        <f t="shared" si="4"/>
        <v>0.3306037318</v>
      </c>
      <c r="Q522" s="6" t="s">
        <v>76</v>
      </c>
      <c r="R522" s="8">
        <f t="shared" si="5"/>
        <v>39.657384</v>
      </c>
    </row>
    <row r="523" ht="14.25" customHeight="1">
      <c r="A523" s="6" t="s">
        <v>1437</v>
      </c>
      <c r="B523" s="6" t="s">
        <v>1234</v>
      </c>
      <c r="C523" s="6" t="s">
        <v>1438</v>
      </c>
      <c r="D523" s="6" t="s">
        <v>64</v>
      </c>
      <c r="E523" s="6" t="s">
        <v>65</v>
      </c>
      <c r="F523" s="6" t="s">
        <v>75</v>
      </c>
      <c r="G523" s="6">
        <v>8.0</v>
      </c>
      <c r="H523" s="6">
        <v>97.71</v>
      </c>
      <c r="I523" s="6">
        <v>183.6</v>
      </c>
      <c r="J523" s="6">
        <v>17.7</v>
      </c>
      <c r="K523" s="6" t="s">
        <v>24</v>
      </c>
      <c r="L523" s="6" t="s">
        <v>61</v>
      </c>
      <c r="M523" s="6">
        <f t="shared" si="1"/>
        <v>781.68</v>
      </c>
      <c r="N523" s="6">
        <f t="shared" si="2"/>
        <v>1208.8224</v>
      </c>
      <c r="O523" s="6">
        <f t="shared" si="3"/>
        <v>427.1424</v>
      </c>
      <c r="P523" s="7">
        <f t="shared" si="4"/>
        <v>0.3533541404</v>
      </c>
      <c r="Q523" s="6" t="s">
        <v>26</v>
      </c>
      <c r="R523" s="8">
        <f t="shared" si="5"/>
        <v>259.9776</v>
      </c>
    </row>
    <row r="524" ht="14.25" customHeight="1">
      <c r="A524" s="6" t="s">
        <v>1439</v>
      </c>
      <c r="B524" s="6" t="s">
        <v>1440</v>
      </c>
      <c r="C524" s="6" t="s">
        <v>1441</v>
      </c>
      <c r="D524" s="6" t="s">
        <v>48</v>
      </c>
      <c r="E524" s="6" t="s">
        <v>59</v>
      </c>
      <c r="F524" s="6" t="s">
        <v>60</v>
      </c>
      <c r="G524" s="6">
        <v>5.0</v>
      </c>
      <c r="H524" s="6">
        <v>289.42</v>
      </c>
      <c r="I524" s="6">
        <v>482.31</v>
      </c>
      <c r="J524" s="6">
        <v>4.16</v>
      </c>
      <c r="K524" s="6" t="s">
        <v>44</v>
      </c>
      <c r="L524" s="6" t="s">
        <v>33</v>
      </c>
      <c r="M524" s="6">
        <f t="shared" si="1"/>
        <v>1447.1</v>
      </c>
      <c r="N524" s="6">
        <f t="shared" si="2"/>
        <v>2311.22952</v>
      </c>
      <c r="O524" s="6">
        <f t="shared" si="3"/>
        <v>864.12952</v>
      </c>
      <c r="P524" s="7">
        <f t="shared" si="4"/>
        <v>0.3738830404</v>
      </c>
      <c r="Q524" s="6" t="s">
        <v>34</v>
      </c>
      <c r="R524" s="8">
        <f t="shared" si="5"/>
        <v>100.32048</v>
      </c>
    </row>
    <row r="525" ht="14.25" customHeight="1">
      <c r="A525" s="6" t="s">
        <v>1442</v>
      </c>
      <c r="B525" s="6" t="s">
        <v>1443</v>
      </c>
      <c r="C525" s="6" t="s">
        <v>1444</v>
      </c>
      <c r="D525" s="6" t="s">
        <v>48</v>
      </c>
      <c r="E525" s="6" t="s">
        <v>104</v>
      </c>
      <c r="F525" s="6" t="s">
        <v>105</v>
      </c>
      <c r="G525" s="6">
        <v>5.0</v>
      </c>
      <c r="H525" s="6">
        <v>366.61</v>
      </c>
      <c r="I525" s="6">
        <v>547.3</v>
      </c>
      <c r="J525" s="6">
        <v>10.94</v>
      </c>
      <c r="K525" s="6" t="s">
        <v>24</v>
      </c>
      <c r="L525" s="6" t="s">
        <v>33</v>
      </c>
      <c r="M525" s="6">
        <f t="shared" si="1"/>
        <v>1833.05</v>
      </c>
      <c r="N525" s="6">
        <f t="shared" si="2"/>
        <v>2437.1269</v>
      </c>
      <c r="O525" s="6">
        <f t="shared" si="3"/>
        <v>604.0769</v>
      </c>
      <c r="P525" s="7">
        <f t="shared" si="4"/>
        <v>0.2478643603</v>
      </c>
      <c r="Q525" s="6" t="s">
        <v>26</v>
      </c>
      <c r="R525" s="8">
        <f t="shared" si="5"/>
        <v>299.3731</v>
      </c>
    </row>
    <row r="526" ht="14.25" customHeight="1">
      <c r="A526" s="6" t="s">
        <v>1445</v>
      </c>
      <c r="B526" s="6" t="s">
        <v>90</v>
      </c>
      <c r="C526" s="6" t="s">
        <v>1444</v>
      </c>
      <c r="D526" s="6" t="s">
        <v>64</v>
      </c>
      <c r="E526" s="6" t="s">
        <v>65</v>
      </c>
      <c r="F526" s="6" t="s">
        <v>66</v>
      </c>
      <c r="G526" s="6">
        <v>6.0</v>
      </c>
      <c r="H526" s="6">
        <v>418.84</v>
      </c>
      <c r="I526" s="6">
        <v>521.35</v>
      </c>
      <c r="J526" s="6">
        <v>20.48</v>
      </c>
      <c r="K526" s="6" t="s">
        <v>44</v>
      </c>
      <c r="L526" s="6" t="s">
        <v>61</v>
      </c>
      <c r="M526" s="6">
        <f t="shared" si="1"/>
        <v>2513.04</v>
      </c>
      <c r="N526" s="6">
        <f t="shared" si="2"/>
        <v>2487.46512</v>
      </c>
      <c r="O526" s="6">
        <f t="shared" si="3"/>
        <v>-25.57488</v>
      </c>
      <c r="P526" s="7">
        <f t="shared" si="4"/>
        <v>-0.01028150296</v>
      </c>
      <c r="Q526" s="6" t="s">
        <v>76</v>
      </c>
      <c r="R526" s="8">
        <f t="shared" si="5"/>
        <v>640.63488</v>
      </c>
    </row>
    <row r="527" ht="14.25" customHeight="1">
      <c r="A527" s="6" t="s">
        <v>1446</v>
      </c>
      <c r="B527" s="6" t="s">
        <v>1040</v>
      </c>
      <c r="C527" s="6" t="s">
        <v>1447</v>
      </c>
      <c r="D527" s="6" t="s">
        <v>70</v>
      </c>
      <c r="E527" s="6" t="s">
        <v>87</v>
      </c>
      <c r="F527" s="6" t="s">
        <v>88</v>
      </c>
      <c r="G527" s="6">
        <v>3.0</v>
      </c>
      <c r="H527" s="6">
        <v>364.75</v>
      </c>
      <c r="I527" s="6">
        <v>468.31</v>
      </c>
      <c r="J527" s="6">
        <v>21.24</v>
      </c>
      <c r="K527" s="6" t="s">
        <v>44</v>
      </c>
      <c r="L527" s="6" t="s">
        <v>55</v>
      </c>
      <c r="M527" s="6">
        <f t="shared" si="1"/>
        <v>1094.25</v>
      </c>
      <c r="N527" s="6">
        <f t="shared" si="2"/>
        <v>1106.522868</v>
      </c>
      <c r="O527" s="6">
        <f t="shared" si="3"/>
        <v>12.272868</v>
      </c>
      <c r="P527" s="7">
        <f t="shared" si="4"/>
        <v>0.01109138216</v>
      </c>
      <c r="Q527" s="6" t="s">
        <v>40</v>
      </c>
      <c r="R527" s="8">
        <f t="shared" si="5"/>
        <v>298.407132</v>
      </c>
    </row>
    <row r="528" ht="14.25" customHeight="1">
      <c r="A528" s="6" t="s">
        <v>1448</v>
      </c>
      <c r="B528" s="6" t="s">
        <v>939</v>
      </c>
      <c r="C528" s="6" t="s">
        <v>1449</v>
      </c>
      <c r="D528" s="6" t="s">
        <v>48</v>
      </c>
      <c r="E528" s="6" t="s">
        <v>53</v>
      </c>
      <c r="F528" s="6" t="s">
        <v>54</v>
      </c>
      <c r="G528" s="6">
        <v>4.0</v>
      </c>
      <c r="H528" s="6">
        <v>306.03</v>
      </c>
      <c r="I528" s="6">
        <v>483.36</v>
      </c>
      <c r="J528" s="6">
        <v>22.71</v>
      </c>
      <c r="K528" s="6" t="s">
        <v>24</v>
      </c>
      <c r="L528" s="6" t="s">
        <v>55</v>
      </c>
      <c r="M528" s="6">
        <f t="shared" si="1"/>
        <v>1224.12</v>
      </c>
      <c r="N528" s="6">
        <f t="shared" si="2"/>
        <v>1494.355776</v>
      </c>
      <c r="O528" s="6">
        <f t="shared" si="3"/>
        <v>270.235776</v>
      </c>
      <c r="P528" s="7">
        <f t="shared" si="4"/>
        <v>0.1808376428</v>
      </c>
      <c r="Q528" s="6" t="s">
        <v>26</v>
      </c>
      <c r="R528" s="8">
        <f t="shared" si="5"/>
        <v>439.084224</v>
      </c>
    </row>
    <row r="529" ht="14.25" customHeight="1">
      <c r="A529" s="6" t="s">
        <v>1450</v>
      </c>
      <c r="B529" s="6" t="s">
        <v>1451</v>
      </c>
      <c r="C529" s="6" t="s">
        <v>1452</v>
      </c>
      <c r="D529" s="6" t="s">
        <v>48</v>
      </c>
      <c r="E529" s="6" t="s">
        <v>53</v>
      </c>
      <c r="F529" s="6" t="s">
        <v>54</v>
      </c>
      <c r="G529" s="6">
        <v>2.0</v>
      </c>
      <c r="H529" s="6">
        <v>207.67</v>
      </c>
      <c r="I529" s="6">
        <v>260.92</v>
      </c>
      <c r="J529" s="6">
        <v>15.43</v>
      </c>
      <c r="K529" s="6" t="s">
        <v>44</v>
      </c>
      <c r="L529" s="6" t="s">
        <v>33</v>
      </c>
      <c r="M529" s="6">
        <f t="shared" si="1"/>
        <v>415.34</v>
      </c>
      <c r="N529" s="6">
        <f t="shared" si="2"/>
        <v>441.320088</v>
      </c>
      <c r="O529" s="6">
        <f t="shared" si="3"/>
        <v>25.980088</v>
      </c>
      <c r="P529" s="7">
        <f t="shared" si="4"/>
        <v>0.05886903566</v>
      </c>
      <c r="Q529" s="6" t="s">
        <v>40</v>
      </c>
      <c r="R529" s="8">
        <f t="shared" si="5"/>
        <v>80.519912</v>
      </c>
    </row>
    <row r="530" ht="14.25" customHeight="1">
      <c r="A530" s="6" t="s">
        <v>1453</v>
      </c>
      <c r="B530" s="6" t="s">
        <v>1454</v>
      </c>
      <c r="C530" s="6" t="s">
        <v>1455</v>
      </c>
      <c r="D530" s="6" t="s">
        <v>83</v>
      </c>
      <c r="E530" s="6" t="s">
        <v>31</v>
      </c>
      <c r="F530" s="6" t="s">
        <v>32</v>
      </c>
      <c r="G530" s="6">
        <v>4.0</v>
      </c>
      <c r="H530" s="6">
        <v>345.34</v>
      </c>
      <c r="I530" s="6">
        <v>577.82</v>
      </c>
      <c r="J530" s="6">
        <v>7.46</v>
      </c>
      <c r="K530" s="6" t="s">
        <v>44</v>
      </c>
      <c r="L530" s="6" t="s">
        <v>61</v>
      </c>
      <c r="M530" s="6">
        <f t="shared" si="1"/>
        <v>1381.36</v>
      </c>
      <c r="N530" s="6">
        <f t="shared" si="2"/>
        <v>2138.858512</v>
      </c>
      <c r="O530" s="6">
        <f t="shared" si="3"/>
        <v>757.498512</v>
      </c>
      <c r="P530" s="7">
        <f t="shared" si="4"/>
        <v>0.3541601783</v>
      </c>
      <c r="Q530" s="6" t="s">
        <v>40</v>
      </c>
      <c r="R530" s="8">
        <f t="shared" si="5"/>
        <v>172.421488</v>
      </c>
    </row>
    <row r="531" ht="14.25" customHeight="1">
      <c r="A531" s="6" t="s">
        <v>1456</v>
      </c>
      <c r="B531" s="6" t="s">
        <v>586</v>
      </c>
      <c r="C531" s="6" t="s">
        <v>1457</v>
      </c>
      <c r="D531" s="6" t="s">
        <v>48</v>
      </c>
      <c r="E531" s="6" t="s">
        <v>38</v>
      </c>
      <c r="F531" s="6" t="s">
        <v>71</v>
      </c>
      <c r="G531" s="6">
        <v>3.0</v>
      </c>
      <c r="H531" s="6">
        <v>237.71</v>
      </c>
      <c r="I531" s="6">
        <v>279.66</v>
      </c>
      <c r="J531" s="6">
        <v>17.57</v>
      </c>
      <c r="K531" s="6" t="s">
        <v>44</v>
      </c>
      <c r="L531" s="6" t="s">
        <v>25</v>
      </c>
      <c r="M531" s="6">
        <f t="shared" si="1"/>
        <v>713.13</v>
      </c>
      <c r="N531" s="6">
        <f t="shared" si="2"/>
        <v>691.571214</v>
      </c>
      <c r="O531" s="6">
        <f t="shared" si="3"/>
        <v>-21.558786</v>
      </c>
      <c r="P531" s="7">
        <f t="shared" si="4"/>
        <v>-0.03117363124</v>
      </c>
      <c r="Q531" s="6" t="s">
        <v>40</v>
      </c>
      <c r="R531" s="8">
        <f t="shared" si="5"/>
        <v>147.408786</v>
      </c>
    </row>
    <row r="532" ht="14.25" customHeight="1">
      <c r="A532" s="6" t="s">
        <v>1458</v>
      </c>
      <c r="B532" s="6" t="s">
        <v>136</v>
      </c>
      <c r="C532" s="6" t="s">
        <v>1459</v>
      </c>
      <c r="D532" s="6" t="s">
        <v>83</v>
      </c>
      <c r="E532" s="6" t="s">
        <v>104</v>
      </c>
      <c r="F532" s="6" t="s">
        <v>105</v>
      </c>
      <c r="G532" s="6">
        <v>1.0</v>
      </c>
      <c r="H532" s="6">
        <v>215.24</v>
      </c>
      <c r="I532" s="6">
        <v>419.7</v>
      </c>
      <c r="J532" s="6">
        <v>21.35</v>
      </c>
      <c r="K532" s="6" t="s">
        <v>44</v>
      </c>
      <c r="L532" s="6" t="s">
        <v>25</v>
      </c>
      <c r="M532" s="6">
        <f t="shared" si="1"/>
        <v>215.24</v>
      </c>
      <c r="N532" s="6">
        <f t="shared" si="2"/>
        <v>330.09405</v>
      </c>
      <c r="O532" s="6">
        <f t="shared" si="3"/>
        <v>114.85405</v>
      </c>
      <c r="P532" s="7">
        <f t="shared" si="4"/>
        <v>0.3479434119</v>
      </c>
      <c r="Q532" s="6" t="s">
        <v>49</v>
      </c>
      <c r="R532" s="8">
        <f t="shared" si="5"/>
        <v>89.60595</v>
      </c>
    </row>
    <row r="533" ht="14.25" customHeight="1">
      <c r="A533" s="6" t="s">
        <v>1460</v>
      </c>
      <c r="B533" s="6" t="s">
        <v>1461</v>
      </c>
      <c r="C533" s="6" t="s">
        <v>1462</v>
      </c>
      <c r="D533" s="6" t="s">
        <v>64</v>
      </c>
      <c r="E533" s="6" t="s">
        <v>59</v>
      </c>
      <c r="F533" s="6" t="s">
        <v>60</v>
      </c>
      <c r="G533" s="6">
        <v>5.0</v>
      </c>
      <c r="H533" s="6">
        <v>347.41</v>
      </c>
      <c r="I533" s="6">
        <v>416.53</v>
      </c>
      <c r="J533" s="6">
        <v>3.85</v>
      </c>
      <c r="K533" s="6" t="s">
        <v>24</v>
      </c>
      <c r="L533" s="6" t="s">
        <v>55</v>
      </c>
      <c r="M533" s="6">
        <f t="shared" si="1"/>
        <v>1737.05</v>
      </c>
      <c r="N533" s="6">
        <f t="shared" si="2"/>
        <v>2002.467975</v>
      </c>
      <c r="O533" s="6">
        <f t="shared" si="3"/>
        <v>265.417975</v>
      </c>
      <c r="P533" s="7">
        <f t="shared" si="4"/>
        <v>0.1325454281</v>
      </c>
      <c r="Q533" s="6" t="s">
        <v>26</v>
      </c>
      <c r="R533" s="8">
        <f t="shared" si="5"/>
        <v>80.182025</v>
      </c>
    </row>
    <row r="534" ht="14.25" customHeight="1">
      <c r="A534" s="6" t="s">
        <v>1463</v>
      </c>
      <c r="B534" s="6" t="s">
        <v>1111</v>
      </c>
      <c r="C534" s="6" t="s">
        <v>1464</v>
      </c>
      <c r="D534" s="6" t="s">
        <v>70</v>
      </c>
      <c r="E534" s="6" t="s">
        <v>22</v>
      </c>
      <c r="F534" s="6" t="s">
        <v>23</v>
      </c>
      <c r="G534" s="6">
        <v>3.0</v>
      </c>
      <c r="H534" s="6">
        <v>98.38</v>
      </c>
      <c r="I534" s="6">
        <v>118.41</v>
      </c>
      <c r="J534" s="6">
        <v>24.69</v>
      </c>
      <c r="K534" s="6" t="s">
        <v>24</v>
      </c>
      <c r="L534" s="6" t="s">
        <v>55</v>
      </c>
      <c r="M534" s="6">
        <f t="shared" si="1"/>
        <v>295.14</v>
      </c>
      <c r="N534" s="6">
        <f t="shared" si="2"/>
        <v>267.523713</v>
      </c>
      <c r="O534" s="6">
        <f t="shared" si="3"/>
        <v>-27.616287</v>
      </c>
      <c r="P534" s="7">
        <f t="shared" si="4"/>
        <v>-0.1032293051</v>
      </c>
      <c r="Q534" s="6" t="s">
        <v>34</v>
      </c>
      <c r="R534" s="8">
        <f t="shared" si="5"/>
        <v>87.706287</v>
      </c>
    </row>
    <row r="535" ht="14.25" customHeight="1">
      <c r="A535" s="6" t="s">
        <v>1465</v>
      </c>
      <c r="B535" s="6" t="s">
        <v>1466</v>
      </c>
      <c r="C535" s="6" t="s">
        <v>1467</v>
      </c>
      <c r="D535" s="6" t="s">
        <v>30</v>
      </c>
      <c r="E535" s="6" t="s">
        <v>31</v>
      </c>
      <c r="F535" s="6" t="s">
        <v>32</v>
      </c>
      <c r="G535" s="6">
        <v>1.0</v>
      </c>
      <c r="H535" s="6">
        <v>294.17</v>
      </c>
      <c r="I535" s="6">
        <v>437.64</v>
      </c>
      <c r="J535" s="6">
        <v>18.89</v>
      </c>
      <c r="K535" s="6" t="s">
        <v>24</v>
      </c>
      <c r="L535" s="6" t="s">
        <v>55</v>
      </c>
      <c r="M535" s="6">
        <f t="shared" si="1"/>
        <v>294.17</v>
      </c>
      <c r="N535" s="6">
        <f t="shared" si="2"/>
        <v>354.969804</v>
      </c>
      <c r="O535" s="6">
        <f t="shared" si="3"/>
        <v>60.799804</v>
      </c>
      <c r="P535" s="7">
        <f t="shared" si="4"/>
        <v>0.1712816226</v>
      </c>
      <c r="Q535" s="6" t="s">
        <v>26</v>
      </c>
      <c r="R535" s="8">
        <f t="shared" si="5"/>
        <v>82.670196</v>
      </c>
    </row>
    <row r="536" ht="14.25" customHeight="1">
      <c r="A536" s="6" t="s">
        <v>1468</v>
      </c>
      <c r="B536" s="6" t="s">
        <v>374</v>
      </c>
      <c r="C536" s="6" t="s">
        <v>1469</v>
      </c>
      <c r="D536" s="6" t="s">
        <v>64</v>
      </c>
      <c r="E536" s="6" t="s">
        <v>31</v>
      </c>
      <c r="F536" s="6" t="s">
        <v>32</v>
      </c>
      <c r="G536" s="6">
        <v>6.0</v>
      </c>
      <c r="H536" s="6">
        <v>365.15</v>
      </c>
      <c r="I536" s="6">
        <v>523.04</v>
      </c>
      <c r="J536" s="6">
        <v>8.39</v>
      </c>
      <c r="K536" s="6" t="s">
        <v>24</v>
      </c>
      <c r="L536" s="6" t="s">
        <v>33</v>
      </c>
      <c r="M536" s="6">
        <f t="shared" si="1"/>
        <v>2190.9</v>
      </c>
      <c r="N536" s="6">
        <f t="shared" si="2"/>
        <v>2874.941664</v>
      </c>
      <c r="O536" s="6">
        <f t="shared" si="3"/>
        <v>684.041664</v>
      </c>
      <c r="P536" s="7">
        <f t="shared" si="4"/>
        <v>0.2379323631</v>
      </c>
      <c r="Q536" s="6" t="s">
        <v>49</v>
      </c>
      <c r="R536" s="8">
        <f t="shared" si="5"/>
        <v>263.298336</v>
      </c>
    </row>
    <row r="537" ht="14.25" customHeight="1">
      <c r="A537" s="6" t="s">
        <v>1470</v>
      </c>
      <c r="B537" s="6" t="s">
        <v>1471</v>
      </c>
      <c r="C537" s="6" t="s">
        <v>1472</v>
      </c>
      <c r="D537" s="6" t="s">
        <v>21</v>
      </c>
      <c r="E537" s="6" t="s">
        <v>65</v>
      </c>
      <c r="F537" s="6" t="s">
        <v>75</v>
      </c>
      <c r="G537" s="6">
        <v>1.0</v>
      </c>
      <c r="H537" s="6">
        <v>295.98</v>
      </c>
      <c r="I537" s="6">
        <v>349.16</v>
      </c>
      <c r="J537" s="6">
        <v>7.55</v>
      </c>
      <c r="K537" s="6" t="s">
        <v>44</v>
      </c>
      <c r="L537" s="6" t="s">
        <v>55</v>
      </c>
      <c r="M537" s="6">
        <f t="shared" si="1"/>
        <v>295.98</v>
      </c>
      <c r="N537" s="6">
        <f t="shared" si="2"/>
        <v>322.79842</v>
      </c>
      <c r="O537" s="6">
        <f t="shared" si="3"/>
        <v>26.81842</v>
      </c>
      <c r="P537" s="7">
        <f t="shared" si="4"/>
        <v>0.08308101384</v>
      </c>
      <c r="Q537" s="6" t="s">
        <v>49</v>
      </c>
      <c r="R537" s="8">
        <f t="shared" si="5"/>
        <v>26.36158</v>
      </c>
    </row>
    <row r="538" ht="14.25" customHeight="1">
      <c r="A538" s="6" t="s">
        <v>1473</v>
      </c>
      <c r="B538" s="6" t="s">
        <v>1474</v>
      </c>
      <c r="C538" s="6" t="s">
        <v>1475</v>
      </c>
      <c r="D538" s="6" t="s">
        <v>83</v>
      </c>
      <c r="E538" s="6" t="s">
        <v>104</v>
      </c>
      <c r="F538" s="6" t="s">
        <v>105</v>
      </c>
      <c r="G538" s="6">
        <v>6.0</v>
      </c>
      <c r="H538" s="6">
        <v>421.27</v>
      </c>
      <c r="I538" s="6">
        <v>533.67</v>
      </c>
      <c r="J538" s="6">
        <v>17.12</v>
      </c>
      <c r="K538" s="6" t="s">
        <v>24</v>
      </c>
      <c r="L538" s="6" t="s">
        <v>25</v>
      </c>
      <c r="M538" s="6">
        <f t="shared" si="1"/>
        <v>2527.62</v>
      </c>
      <c r="N538" s="6">
        <f t="shared" si="2"/>
        <v>2653.834176</v>
      </c>
      <c r="O538" s="6">
        <f t="shared" si="3"/>
        <v>126.214176</v>
      </c>
      <c r="P538" s="7">
        <f t="shared" si="4"/>
        <v>0.04755917952</v>
      </c>
      <c r="Q538" s="6" t="s">
        <v>26</v>
      </c>
      <c r="R538" s="8">
        <f t="shared" si="5"/>
        <v>548.185824</v>
      </c>
    </row>
    <row r="539" ht="14.25" customHeight="1">
      <c r="A539" s="6" t="s">
        <v>1476</v>
      </c>
      <c r="B539" s="6" t="s">
        <v>217</v>
      </c>
      <c r="C539" s="6" t="s">
        <v>1477</v>
      </c>
      <c r="D539" s="6" t="s">
        <v>70</v>
      </c>
      <c r="E539" s="6" t="s">
        <v>38</v>
      </c>
      <c r="F539" s="6" t="s">
        <v>39</v>
      </c>
      <c r="G539" s="6">
        <v>1.0</v>
      </c>
      <c r="H539" s="6">
        <v>264.96</v>
      </c>
      <c r="I539" s="6">
        <v>323.92</v>
      </c>
      <c r="J539" s="6">
        <v>1.08</v>
      </c>
      <c r="K539" s="6" t="s">
        <v>44</v>
      </c>
      <c r="L539" s="6" t="s">
        <v>25</v>
      </c>
      <c r="M539" s="6">
        <f t="shared" si="1"/>
        <v>264.96</v>
      </c>
      <c r="N539" s="6">
        <f t="shared" si="2"/>
        <v>320.421664</v>
      </c>
      <c r="O539" s="6">
        <f t="shared" si="3"/>
        <v>55.461664</v>
      </c>
      <c r="P539" s="7">
        <f t="shared" si="4"/>
        <v>0.1730896198</v>
      </c>
      <c r="Q539" s="6" t="s">
        <v>49</v>
      </c>
      <c r="R539" s="8">
        <f t="shared" si="5"/>
        <v>3.498336</v>
      </c>
    </row>
    <row r="540" ht="14.25" customHeight="1">
      <c r="A540" s="6" t="s">
        <v>1478</v>
      </c>
      <c r="B540" s="6" t="s">
        <v>1479</v>
      </c>
      <c r="C540" s="6" t="s">
        <v>1480</v>
      </c>
      <c r="D540" s="6" t="s">
        <v>48</v>
      </c>
      <c r="E540" s="6" t="s">
        <v>53</v>
      </c>
      <c r="F540" s="6" t="s">
        <v>54</v>
      </c>
      <c r="G540" s="6">
        <v>8.0</v>
      </c>
      <c r="H540" s="6">
        <v>187.77</v>
      </c>
      <c r="I540" s="6">
        <v>302.1</v>
      </c>
      <c r="J540" s="6">
        <v>1.92</v>
      </c>
      <c r="K540" s="6" t="s">
        <v>24</v>
      </c>
      <c r="L540" s="6" t="s">
        <v>61</v>
      </c>
      <c r="M540" s="6">
        <f t="shared" si="1"/>
        <v>1502.16</v>
      </c>
      <c r="N540" s="6">
        <f t="shared" si="2"/>
        <v>2370.39744</v>
      </c>
      <c r="O540" s="6">
        <f t="shared" si="3"/>
        <v>868.23744</v>
      </c>
      <c r="P540" s="7">
        <f t="shared" si="4"/>
        <v>0.366283487</v>
      </c>
      <c r="Q540" s="6" t="s">
        <v>26</v>
      </c>
      <c r="R540" s="8">
        <f t="shared" si="5"/>
        <v>46.40256</v>
      </c>
    </row>
    <row r="541" ht="14.25" customHeight="1">
      <c r="A541" s="6" t="s">
        <v>1481</v>
      </c>
      <c r="B541" s="6" t="s">
        <v>1482</v>
      </c>
      <c r="C541" s="6" t="s">
        <v>1483</v>
      </c>
      <c r="D541" s="6" t="s">
        <v>64</v>
      </c>
      <c r="E541" s="6" t="s">
        <v>59</v>
      </c>
      <c r="F541" s="6" t="s">
        <v>60</v>
      </c>
      <c r="G541" s="6">
        <v>1.0</v>
      </c>
      <c r="H541" s="6">
        <v>243.9</v>
      </c>
      <c r="I541" s="6">
        <v>338.98</v>
      </c>
      <c r="J541" s="6">
        <v>7.24</v>
      </c>
      <c r="K541" s="6" t="s">
        <v>44</v>
      </c>
      <c r="L541" s="6" t="s">
        <v>61</v>
      </c>
      <c r="M541" s="6">
        <f t="shared" si="1"/>
        <v>243.9</v>
      </c>
      <c r="N541" s="6">
        <f t="shared" si="2"/>
        <v>314.437848</v>
      </c>
      <c r="O541" s="6">
        <f t="shared" si="3"/>
        <v>70.537848</v>
      </c>
      <c r="P541" s="7">
        <f t="shared" si="4"/>
        <v>0.2243300177</v>
      </c>
      <c r="Q541" s="6" t="s">
        <v>40</v>
      </c>
      <c r="R541" s="8">
        <f t="shared" si="5"/>
        <v>24.542152</v>
      </c>
    </row>
    <row r="542" ht="14.25" customHeight="1">
      <c r="A542" s="6" t="s">
        <v>1484</v>
      </c>
      <c r="B542" s="6" t="s">
        <v>541</v>
      </c>
      <c r="C542" s="6" t="s">
        <v>1485</v>
      </c>
      <c r="D542" s="6" t="s">
        <v>21</v>
      </c>
      <c r="E542" s="6" t="s">
        <v>59</v>
      </c>
      <c r="F542" s="6" t="s">
        <v>60</v>
      </c>
      <c r="G542" s="6">
        <v>3.0</v>
      </c>
      <c r="H542" s="6">
        <v>66.22</v>
      </c>
      <c r="I542" s="6">
        <v>89.55</v>
      </c>
      <c r="J542" s="6">
        <v>8.88</v>
      </c>
      <c r="K542" s="6" t="s">
        <v>24</v>
      </c>
      <c r="L542" s="6" t="s">
        <v>25</v>
      </c>
      <c r="M542" s="6">
        <f t="shared" si="1"/>
        <v>198.66</v>
      </c>
      <c r="N542" s="6">
        <f t="shared" si="2"/>
        <v>244.79388</v>
      </c>
      <c r="O542" s="6">
        <f t="shared" si="3"/>
        <v>46.13388</v>
      </c>
      <c r="P542" s="7">
        <f t="shared" si="4"/>
        <v>0.1884601037</v>
      </c>
      <c r="Q542" s="6" t="s">
        <v>40</v>
      </c>
      <c r="R542" s="8">
        <f t="shared" si="5"/>
        <v>23.85612</v>
      </c>
    </row>
    <row r="543" ht="14.25" customHeight="1">
      <c r="A543" s="6" t="s">
        <v>1486</v>
      </c>
      <c r="B543" s="6" t="s">
        <v>1487</v>
      </c>
      <c r="C543" s="6" t="s">
        <v>1488</v>
      </c>
      <c r="D543" s="6" t="s">
        <v>21</v>
      </c>
      <c r="E543" s="6" t="s">
        <v>38</v>
      </c>
      <c r="F543" s="6" t="s">
        <v>71</v>
      </c>
      <c r="G543" s="6">
        <v>8.0</v>
      </c>
      <c r="H543" s="6">
        <v>337.75</v>
      </c>
      <c r="I543" s="6">
        <v>536.07</v>
      </c>
      <c r="J543" s="6">
        <v>20.74</v>
      </c>
      <c r="K543" s="6" t="s">
        <v>24</v>
      </c>
      <c r="L543" s="6" t="s">
        <v>33</v>
      </c>
      <c r="M543" s="6">
        <f t="shared" si="1"/>
        <v>2702</v>
      </c>
      <c r="N543" s="6">
        <f t="shared" si="2"/>
        <v>3399.112656</v>
      </c>
      <c r="O543" s="6">
        <f t="shared" si="3"/>
        <v>697.112656</v>
      </c>
      <c r="P543" s="7">
        <f t="shared" si="4"/>
        <v>0.2050866584</v>
      </c>
      <c r="Q543" s="6" t="s">
        <v>49</v>
      </c>
      <c r="R543" s="8">
        <f t="shared" si="5"/>
        <v>889.447344</v>
      </c>
    </row>
    <row r="544" ht="14.25" customHeight="1">
      <c r="A544" s="6" t="s">
        <v>1489</v>
      </c>
      <c r="B544" s="6" t="s">
        <v>1490</v>
      </c>
      <c r="C544" s="6" t="s">
        <v>1491</v>
      </c>
      <c r="D544" s="6" t="s">
        <v>30</v>
      </c>
      <c r="E544" s="6" t="s">
        <v>104</v>
      </c>
      <c r="F544" s="6" t="s">
        <v>105</v>
      </c>
      <c r="G544" s="6">
        <v>1.0</v>
      </c>
      <c r="H544" s="6">
        <v>123.25</v>
      </c>
      <c r="I544" s="6">
        <v>227.38</v>
      </c>
      <c r="J544" s="6">
        <v>9.74</v>
      </c>
      <c r="K544" s="6" t="s">
        <v>24</v>
      </c>
      <c r="L544" s="6" t="s">
        <v>25</v>
      </c>
      <c r="M544" s="6">
        <f t="shared" si="1"/>
        <v>123.25</v>
      </c>
      <c r="N544" s="6">
        <f t="shared" si="2"/>
        <v>205.233188</v>
      </c>
      <c r="O544" s="6">
        <f t="shared" si="3"/>
        <v>81.983188</v>
      </c>
      <c r="P544" s="7">
        <f t="shared" si="4"/>
        <v>0.3994635994</v>
      </c>
      <c r="Q544" s="6" t="s">
        <v>40</v>
      </c>
      <c r="R544" s="8">
        <f t="shared" si="5"/>
        <v>22.146812</v>
      </c>
    </row>
    <row r="545" ht="14.25" customHeight="1">
      <c r="A545" s="6" t="s">
        <v>1492</v>
      </c>
      <c r="B545" s="6" t="s">
        <v>1493</v>
      </c>
      <c r="C545" s="6" t="s">
        <v>1494</v>
      </c>
      <c r="D545" s="6" t="s">
        <v>30</v>
      </c>
      <c r="E545" s="6" t="s">
        <v>87</v>
      </c>
      <c r="F545" s="6" t="s">
        <v>88</v>
      </c>
      <c r="G545" s="6">
        <v>2.0</v>
      </c>
      <c r="H545" s="6">
        <v>194.54</v>
      </c>
      <c r="I545" s="6">
        <v>309.77</v>
      </c>
      <c r="J545" s="6">
        <v>6.5</v>
      </c>
      <c r="K545" s="6" t="s">
        <v>44</v>
      </c>
      <c r="L545" s="6" t="s">
        <v>33</v>
      </c>
      <c r="M545" s="6">
        <f t="shared" si="1"/>
        <v>389.08</v>
      </c>
      <c r="N545" s="6">
        <f t="shared" si="2"/>
        <v>579.2699</v>
      </c>
      <c r="O545" s="6">
        <f t="shared" si="3"/>
        <v>190.1899</v>
      </c>
      <c r="P545" s="7">
        <f t="shared" si="4"/>
        <v>0.3283269163</v>
      </c>
      <c r="Q545" s="6" t="s">
        <v>40</v>
      </c>
      <c r="R545" s="8">
        <f t="shared" si="5"/>
        <v>40.2701</v>
      </c>
    </row>
    <row r="546" ht="14.25" customHeight="1">
      <c r="A546" s="6" t="s">
        <v>1495</v>
      </c>
      <c r="B546" s="6" t="s">
        <v>1496</v>
      </c>
      <c r="C546" s="6" t="s">
        <v>1497</v>
      </c>
      <c r="D546" s="6" t="s">
        <v>30</v>
      </c>
      <c r="E546" s="6" t="s">
        <v>31</v>
      </c>
      <c r="F546" s="6" t="s">
        <v>32</v>
      </c>
      <c r="G546" s="6">
        <v>2.0</v>
      </c>
      <c r="H546" s="6">
        <v>281.33</v>
      </c>
      <c r="I546" s="6">
        <v>380.05</v>
      </c>
      <c r="J546" s="6">
        <v>3.79</v>
      </c>
      <c r="K546" s="6" t="s">
        <v>44</v>
      </c>
      <c r="L546" s="6" t="s">
        <v>25</v>
      </c>
      <c r="M546" s="6">
        <f t="shared" si="1"/>
        <v>562.66</v>
      </c>
      <c r="N546" s="6">
        <f t="shared" si="2"/>
        <v>731.29221</v>
      </c>
      <c r="O546" s="6">
        <f t="shared" si="3"/>
        <v>168.63221</v>
      </c>
      <c r="P546" s="7">
        <f t="shared" si="4"/>
        <v>0.2305948398</v>
      </c>
      <c r="Q546" s="6" t="s">
        <v>26</v>
      </c>
      <c r="R546" s="8">
        <f t="shared" si="5"/>
        <v>28.80779</v>
      </c>
    </row>
    <row r="547" ht="14.25" customHeight="1">
      <c r="A547" s="6" t="s">
        <v>1498</v>
      </c>
      <c r="B547" s="6" t="s">
        <v>538</v>
      </c>
      <c r="C547" s="6" t="s">
        <v>1499</v>
      </c>
      <c r="D547" s="6" t="s">
        <v>70</v>
      </c>
      <c r="E547" s="6" t="s">
        <v>87</v>
      </c>
      <c r="F547" s="6" t="s">
        <v>88</v>
      </c>
      <c r="G547" s="6">
        <v>1.0</v>
      </c>
      <c r="H547" s="6">
        <v>324.22</v>
      </c>
      <c r="I547" s="6">
        <v>463.77</v>
      </c>
      <c r="J547" s="6">
        <v>5.44</v>
      </c>
      <c r="K547" s="6" t="s">
        <v>44</v>
      </c>
      <c r="L547" s="6" t="s">
        <v>61</v>
      </c>
      <c r="M547" s="6">
        <f t="shared" si="1"/>
        <v>324.22</v>
      </c>
      <c r="N547" s="6">
        <f t="shared" si="2"/>
        <v>438.540912</v>
      </c>
      <c r="O547" s="6">
        <f t="shared" si="3"/>
        <v>114.320912</v>
      </c>
      <c r="P547" s="7">
        <f t="shared" si="4"/>
        <v>0.2606847135</v>
      </c>
      <c r="Q547" s="6" t="s">
        <v>26</v>
      </c>
      <c r="R547" s="8">
        <f t="shared" si="5"/>
        <v>25.229088</v>
      </c>
    </row>
    <row r="548" ht="14.25" customHeight="1">
      <c r="A548" s="6" t="s">
        <v>1500</v>
      </c>
      <c r="B548" s="6" t="s">
        <v>385</v>
      </c>
      <c r="C548" s="6" t="s">
        <v>1501</v>
      </c>
      <c r="D548" s="6" t="s">
        <v>70</v>
      </c>
      <c r="E548" s="6" t="s">
        <v>38</v>
      </c>
      <c r="F548" s="6" t="s">
        <v>71</v>
      </c>
      <c r="G548" s="6">
        <v>4.0</v>
      </c>
      <c r="H548" s="6">
        <v>161.31</v>
      </c>
      <c r="I548" s="6">
        <v>245.25</v>
      </c>
      <c r="J548" s="6">
        <v>15.41</v>
      </c>
      <c r="K548" s="6" t="s">
        <v>44</v>
      </c>
      <c r="L548" s="6" t="s">
        <v>55</v>
      </c>
      <c r="M548" s="6">
        <f t="shared" si="1"/>
        <v>645.24</v>
      </c>
      <c r="N548" s="6">
        <f t="shared" si="2"/>
        <v>829.8279</v>
      </c>
      <c r="O548" s="6">
        <f t="shared" si="3"/>
        <v>184.5879</v>
      </c>
      <c r="P548" s="7">
        <f t="shared" si="4"/>
        <v>0.2224411833</v>
      </c>
      <c r="Q548" s="6" t="s">
        <v>40</v>
      </c>
      <c r="R548" s="8">
        <f t="shared" si="5"/>
        <v>151.1721</v>
      </c>
    </row>
    <row r="549" ht="14.25" customHeight="1">
      <c r="A549" s="6" t="s">
        <v>1502</v>
      </c>
      <c r="B549" s="6" t="s">
        <v>1503</v>
      </c>
      <c r="C549" s="6" t="s">
        <v>1504</v>
      </c>
      <c r="D549" s="6" t="s">
        <v>64</v>
      </c>
      <c r="E549" s="6" t="s">
        <v>22</v>
      </c>
      <c r="F549" s="6" t="s">
        <v>23</v>
      </c>
      <c r="G549" s="6">
        <v>3.0</v>
      </c>
      <c r="H549" s="6">
        <v>206.34</v>
      </c>
      <c r="I549" s="6">
        <v>367.48</v>
      </c>
      <c r="J549" s="6">
        <v>9.51</v>
      </c>
      <c r="K549" s="6" t="s">
        <v>24</v>
      </c>
      <c r="L549" s="6" t="s">
        <v>61</v>
      </c>
      <c r="M549" s="6">
        <f t="shared" si="1"/>
        <v>619.02</v>
      </c>
      <c r="N549" s="6">
        <f t="shared" si="2"/>
        <v>997.597956</v>
      </c>
      <c r="O549" s="6">
        <f t="shared" si="3"/>
        <v>378.577956</v>
      </c>
      <c r="P549" s="7">
        <f t="shared" si="4"/>
        <v>0.3794895065</v>
      </c>
      <c r="Q549" s="6" t="s">
        <v>26</v>
      </c>
      <c r="R549" s="8">
        <f t="shared" si="5"/>
        <v>104.842044</v>
      </c>
    </row>
    <row r="550" ht="14.25" customHeight="1">
      <c r="A550" s="6" t="s">
        <v>1505</v>
      </c>
      <c r="B550" s="6" t="s">
        <v>523</v>
      </c>
      <c r="C550" s="6" t="s">
        <v>1506</v>
      </c>
      <c r="D550" s="6" t="s">
        <v>64</v>
      </c>
      <c r="E550" s="6" t="s">
        <v>104</v>
      </c>
      <c r="F550" s="6" t="s">
        <v>105</v>
      </c>
      <c r="G550" s="6">
        <v>5.0</v>
      </c>
      <c r="H550" s="6">
        <v>130.44</v>
      </c>
      <c r="I550" s="6">
        <v>247.03</v>
      </c>
      <c r="J550" s="6">
        <v>16.52</v>
      </c>
      <c r="K550" s="6" t="s">
        <v>24</v>
      </c>
      <c r="L550" s="6" t="s">
        <v>33</v>
      </c>
      <c r="M550" s="6">
        <f t="shared" si="1"/>
        <v>652.2</v>
      </c>
      <c r="N550" s="6">
        <f t="shared" si="2"/>
        <v>1031.10322</v>
      </c>
      <c r="O550" s="6">
        <f t="shared" si="3"/>
        <v>378.90322</v>
      </c>
      <c r="P550" s="7">
        <f t="shared" si="4"/>
        <v>0.3674736075</v>
      </c>
      <c r="Q550" s="6" t="s">
        <v>34</v>
      </c>
      <c r="R550" s="8">
        <f t="shared" si="5"/>
        <v>204.04678</v>
      </c>
    </row>
    <row r="551" ht="14.25" customHeight="1">
      <c r="A551" s="6" t="s">
        <v>1507</v>
      </c>
      <c r="B551" s="6" t="s">
        <v>1508</v>
      </c>
      <c r="C551" s="6" t="s">
        <v>1509</v>
      </c>
      <c r="D551" s="6" t="s">
        <v>48</v>
      </c>
      <c r="E551" s="6" t="s">
        <v>59</v>
      </c>
      <c r="F551" s="6" t="s">
        <v>60</v>
      </c>
      <c r="G551" s="6">
        <v>2.0</v>
      </c>
      <c r="H551" s="6">
        <v>264.56</v>
      </c>
      <c r="I551" s="6">
        <v>487.02</v>
      </c>
      <c r="J551" s="6">
        <v>13.16</v>
      </c>
      <c r="K551" s="6" t="s">
        <v>24</v>
      </c>
      <c r="L551" s="6" t="s">
        <v>25</v>
      </c>
      <c r="M551" s="6">
        <f t="shared" si="1"/>
        <v>529.12</v>
      </c>
      <c r="N551" s="6">
        <f t="shared" si="2"/>
        <v>845.856336</v>
      </c>
      <c r="O551" s="6">
        <f t="shared" si="3"/>
        <v>316.736336</v>
      </c>
      <c r="P551" s="7">
        <f t="shared" si="4"/>
        <v>0.3744564207</v>
      </c>
      <c r="Q551" s="6" t="s">
        <v>26</v>
      </c>
      <c r="R551" s="8">
        <f t="shared" si="5"/>
        <v>128.183664</v>
      </c>
    </row>
    <row r="552" ht="14.25" customHeight="1">
      <c r="A552" s="6" t="s">
        <v>1510</v>
      </c>
      <c r="B552" s="6" t="s">
        <v>586</v>
      </c>
      <c r="C552" s="6" t="s">
        <v>1511</v>
      </c>
      <c r="D552" s="6" t="s">
        <v>70</v>
      </c>
      <c r="E552" s="6" t="s">
        <v>53</v>
      </c>
      <c r="F552" s="6" t="s">
        <v>54</v>
      </c>
      <c r="G552" s="6">
        <v>6.0</v>
      </c>
      <c r="H552" s="6">
        <v>138.46</v>
      </c>
      <c r="I552" s="6">
        <v>196.08</v>
      </c>
      <c r="J552" s="6">
        <v>4.38</v>
      </c>
      <c r="K552" s="6" t="s">
        <v>24</v>
      </c>
      <c r="L552" s="6" t="s">
        <v>33</v>
      </c>
      <c r="M552" s="6">
        <f t="shared" si="1"/>
        <v>830.76</v>
      </c>
      <c r="N552" s="6">
        <f t="shared" si="2"/>
        <v>1124.950176</v>
      </c>
      <c r="O552" s="6">
        <f t="shared" si="3"/>
        <v>294.190176</v>
      </c>
      <c r="P552" s="7">
        <f t="shared" si="4"/>
        <v>0.2615139606</v>
      </c>
      <c r="Q552" s="6" t="s">
        <v>76</v>
      </c>
      <c r="R552" s="8">
        <f t="shared" si="5"/>
        <v>51.529824</v>
      </c>
    </row>
    <row r="553" ht="14.25" customHeight="1">
      <c r="A553" s="6" t="s">
        <v>1512</v>
      </c>
      <c r="B553" s="6" t="s">
        <v>164</v>
      </c>
      <c r="C553" s="6" t="s">
        <v>1513</v>
      </c>
      <c r="D553" s="6" t="s">
        <v>48</v>
      </c>
      <c r="E553" s="6" t="s">
        <v>87</v>
      </c>
      <c r="F553" s="6" t="s">
        <v>88</v>
      </c>
      <c r="G553" s="6">
        <v>1.0</v>
      </c>
      <c r="H553" s="6">
        <v>170.97</v>
      </c>
      <c r="I553" s="6">
        <v>272.53</v>
      </c>
      <c r="J553" s="6">
        <v>7.55</v>
      </c>
      <c r="K553" s="6" t="s">
        <v>44</v>
      </c>
      <c r="L553" s="6" t="s">
        <v>61</v>
      </c>
      <c r="M553" s="6">
        <f t="shared" si="1"/>
        <v>170.97</v>
      </c>
      <c r="N553" s="6">
        <f t="shared" si="2"/>
        <v>251.953985</v>
      </c>
      <c r="O553" s="6">
        <f t="shared" si="3"/>
        <v>80.983985</v>
      </c>
      <c r="P553" s="7">
        <f t="shared" si="4"/>
        <v>0.3214237116</v>
      </c>
      <c r="Q553" s="6" t="s">
        <v>34</v>
      </c>
      <c r="R553" s="8">
        <f t="shared" si="5"/>
        <v>20.576015</v>
      </c>
    </row>
    <row r="554" ht="14.25" customHeight="1">
      <c r="A554" s="6" t="s">
        <v>1514</v>
      </c>
      <c r="B554" s="6" t="s">
        <v>1515</v>
      </c>
      <c r="C554" s="6" t="s">
        <v>1516</v>
      </c>
      <c r="D554" s="6" t="s">
        <v>70</v>
      </c>
      <c r="E554" s="6" t="s">
        <v>22</v>
      </c>
      <c r="F554" s="6" t="s">
        <v>23</v>
      </c>
      <c r="G554" s="6">
        <v>7.0</v>
      </c>
      <c r="H554" s="6">
        <v>165.19</v>
      </c>
      <c r="I554" s="6">
        <v>317.54</v>
      </c>
      <c r="J554" s="6">
        <v>11.56</v>
      </c>
      <c r="K554" s="6" t="s">
        <v>44</v>
      </c>
      <c r="L554" s="6" t="s">
        <v>61</v>
      </c>
      <c r="M554" s="6">
        <f t="shared" si="1"/>
        <v>1156.33</v>
      </c>
      <c r="N554" s="6">
        <f t="shared" si="2"/>
        <v>1965.826632</v>
      </c>
      <c r="O554" s="6">
        <f t="shared" si="3"/>
        <v>809.496632</v>
      </c>
      <c r="P554" s="7">
        <f t="shared" si="4"/>
        <v>0.411784345</v>
      </c>
      <c r="Q554" s="6" t="s">
        <v>40</v>
      </c>
      <c r="R554" s="8">
        <f t="shared" si="5"/>
        <v>256.953368</v>
      </c>
    </row>
    <row r="555" ht="14.25" customHeight="1">
      <c r="A555" s="6" t="s">
        <v>1517</v>
      </c>
      <c r="B555" s="6" t="s">
        <v>968</v>
      </c>
      <c r="C555" s="6" t="s">
        <v>1518</v>
      </c>
      <c r="D555" s="6" t="s">
        <v>70</v>
      </c>
      <c r="E555" s="6" t="s">
        <v>59</v>
      </c>
      <c r="F555" s="6" t="s">
        <v>60</v>
      </c>
      <c r="G555" s="6">
        <v>3.0</v>
      </c>
      <c r="H555" s="6">
        <v>239.85</v>
      </c>
      <c r="I555" s="6">
        <v>376.91</v>
      </c>
      <c r="J555" s="6">
        <v>14.88</v>
      </c>
      <c r="K555" s="6" t="s">
        <v>24</v>
      </c>
      <c r="L555" s="6" t="s">
        <v>25</v>
      </c>
      <c r="M555" s="6">
        <f t="shared" si="1"/>
        <v>719.55</v>
      </c>
      <c r="N555" s="6">
        <f t="shared" si="2"/>
        <v>962.477376</v>
      </c>
      <c r="O555" s="6">
        <f t="shared" si="3"/>
        <v>242.927376</v>
      </c>
      <c r="P555" s="7">
        <f t="shared" si="4"/>
        <v>0.2523980117</v>
      </c>
      <c r="Q555" s="6" t="s">
        <v>40</v>
      </c>
      <c r="R555" s="8">
        <f t="shared" si="5"/>
        <v>168.252624</v>
      </c>
    </row>
    <row r="556" ht="14.25" customHeight="1">
      <c r="A556" s="6" t="s">
        <v>1519</v>
      </c>
      <c r="B556" s="6" t="s">
        <v>368</v>
      </c>
      <c r="C556" s="6" t="s">
        <v>1520</v>
      </c>
      <c r="D556" s="6" t="s">
        <v>64</v>
      </c>
      <c r="E556" s="6" t="s">
        <v>87</v>
      </c>
      <c r="F556" s="6" t="s">
        <v>88</v>
      </c>
      <c r="G556" s="6">
        <v>3.0</v>
      </c>
      <c r="H556" s="6">
        <v>230.64</v>
      </c>
      <c r="I556" s="6">
        <v>339.1</v>
      </c>
      <c r="J556" s="6">
        <v>12.47</v>
      </c>
      <c r="K556" s="6" t="s">
        <v>44</v>
      </c>
      <c r="L556" s="6" t="s">
        <v>25</v>
      </c>
      <c r="M556" s="6">
        <f t="shared" si="1"/>
        <v>691.92</v>
      </c>
      <c r="N556" s="6">
        <f t="shared" si="2"/>
        <v>890.44269</v>
      </c>
      <c r="O556" s="6">
        <f t="shared" si="3"/>
        <v>198.52269</v>
      </c>
      <c r="P556" s="7">
        <f t="shared" si="4"/>
        <v>0.2229483068</v>
      </c>
      <c r="Q556" s="6" t="s">
        <v>34</v>
      </c>
      <c r="R556" s="8">
        <f t="shared" si="5"/>
        <v>126.85731</v>
      </c>
    </row>
    <row r="557" ht="14.25" customHeight="1">
      <c r="A557" s="6" t="s">
        <v>1521</v>
      </c>
      <c r="B557" s="6" t="s">
        <v>1522</v>
      </c>
      <c r="C557" s="6" t="s">
        <v>1523</v>
      </c>
      <c r="D557" s="6" t="s">
        <v>70</v>
      </c>
      <c r="E557" s="6" t="s">
        <v>87</v>
      </c>
      <c r="F557" s="6" t="s">
        <v>88</v>
      </c>
      <c r="G557" s="6">
        <v>7.0</v>
      </c>
      <c r="H557" s="6">
        <v>263.93</v>
      </c>
      <c r="I557" s="6">
        <v>386.21</v>
      </c>
      <c r="J557" s="6">
        <v>9.89</v>
      </c>
      <c r="K557" s="6" t="s">
        <v>24</v>
      </c>
      <c r="L557" s="6" t="s">
        <v>33</v>
      </c>
      <c r="M557" s="6">
        <f t="shared" si="1"/>
        <v>1847.51</v>
      </c>
      <c r="N557" s="6">
        <f t="shared" si="2"/>
        <v>2436.096817</v>
      </c>
      <c r="O557" s="6">
        <f t="shared" si="3"/>
        <v>588.586817</v>
      </c>
      <c r="P557" s="7">
        <f t="shared" si="4"/>
        <v>0.2416106014</v>
      </c>
      <c r="Q557" s="6" t="s">
        <v>40</v>
      </c>
      <c r="R557" s="8">
        <f t="shared" si="5"/>
        <v>267.373183</v>
      </c>
    </row>
    <row r="558" ht="14.25" customHeight="1">
      <c r="A558" s="6" t="s">
        <v>1524</v>
      </c>
      <c r="B558" s="6" t="s">
        <v>78</v>
      </c>
      <c r="C558" s="6" t="s">
        <v>1525</v>
      </c>
      <c r="D558" s="6" t="s">
        <v>83</v>
      </c>
      <c r="E558" s="6" t="s">
        <v>38</v>
      </c>
      <c r="F558" s="6" t="s">
        <v>39</v>
      </c>
      <c r="G558" s="6">
        <v>7.0</v>
      </c>
      <c r="H558" s="6">
        <v>76.78</v>
      </c>
      <c r="I558" s="6">
        <v>115.84</v>
      </c>
      <c r="J558" s="6">
        <v>7.06</v>
      </c>
      <c r="K558" s="6" t="s">
        <v>44</v>
      </c>
      <c r="L558" s="6" t="s">
        <v>61</v>
      </c>
      <c r="M558" s="6">
        <f t="shared" si="1"/>
        <v>537.46</v>
      </c>
      <c r="N558" s="6">
        <f t="shared" si="2"/>
        <v>753.631872</v>
      </c>
      <c r="O558" s="6">
        <f t="shared" si="3"/>
        <v>216.171872</v>
      </c>
      <c r="P558" s="7">
        <f t="shared" si="4"/>
        <v>0.2868401404</v>
      </c>
      <c r="Q558" s="6" t="s">
        <v>49</v>
      </c>
      <c r="R558" s="8">
        <f t="shared" si="5"/>
        <v>57.248128</v>
      </c>
    </row>
    <row r="559" ht="14.25" customHeight="1">
      <c r="A559" s="6" t="s">
        <v>1526</v>
      </c>
      <c r="B559" s="6" t="s">
        <v>1527</v>
      </c>
      <c r="C559" s="6" t="s">
        <v>1528</v>
      </c>
      <c r="D559" s="6" t="s">
        <v>70</v>
      </c>
      <c r="E559" s="6" t="s">
        <v>65</v>
      </c>
      <c r="F559" s="6" t="s">
        <v>75</v>
      </c>
      <c r="G559" s="6">
        <v>3.0</v>
      </c>
      <c r="H559" s="6">
        <v>196.56</v>
      </c>
      <c r="I559" s="6">
        <v>290.82</v>
      </c>
      <c r="J559" s="6">
        <v>22.38</v>
      </c>
      <c r="K559" s="6" t="s">
        <v>44</v>
      </c>
      <c r="L559" s="6" t="s">
        <v>55</v>
      </c>
      <c r="M559" s="6">
        <f t="shared" si="1"/>
        <v>589.68</v>
      </c>
      <c r="N559" s="6">
        <f t="shared" si="2"/>
        <v>677.203452</v>
      </c>
      <c r="O559" s="6">
        <f t="shared" si="3"/>
        <v>87.523452</v>
      </c>
      <c r="P559" s="7">
        <f t="shared" si="4"/>
        <v>0.1292424776</v>
      </c>
      <c r="Q559" s="6" t="s">
        <v>40</v>
      </c>
      <c r="R559" s="8">
        <f t="shared" si="5"/>
        <v>195.256548</v>
      </c>
    </row>
    <row r="560" ht="14.25" customHeight="1">
      <c r="A560" s="6" t="s">
        <v>1529</v>
      </c>
      <c r="B560" s="6" t="s">
        <v>1530</v>
      </c>
      <c r="C560" s="6" t="s">
        <v>1531</v>
      </c>
      <c r="D560" s="6" t="s">
        <v>83</v>
      </c>
      <c r="E560" s="6" t="s">
        <v>65</v>
      </c>
      <c r="F560" s="6" t="s">
        <v>66</v>
      </c>
      <c r="G560" s="6">
        <v>7.0</v>
      </c>
      <c r="H560" s="6">
        <v>399.82</v>
      </c>
      <c r="I560" s="6">
        <v>531.41</v>
      </c>
      <c r="J560" s="6">
        <v>24.21</v>
      </c>
      <c r="K560" s="6" t="s">
        <v>44</v>
      </c>
      <c r="L560" s="6" t="s">
        <v>33</v>
      </c>
      <c r="M560" s="6">
        <f t="shared" si="1"/>
        <v>2798.74</v>
      </c>
      <c r="N560" s="6">
        <f t="shared" si="2"/>
        <v>2819.289473</v>
      </c>
      <c r="O560" s="6">
        <f t="shared" si="3"/>
        <v>20.549473</v>
      </c>
      <c r="P560" s="7">
        <f t="shared" si="4"/>
        <v>0.00728888367</v>
      </c>
      <c r="Q560" s="6" t="s">
        <v>76</v>
      </c>
      <c r="R560" s="8">
        <f t="shared" si="5"/>
        <v>900.580527</v>
      </c>
    </row>
    <row r="561" ht="14.25" customHeight="1">
      <c r="A561" s="6" t="s">
        <v>1532</v>
      </c>
      <c r="B561" s="6" t="s">
        <v>1533</v>
      </c>
      <c r="C561" s="6" t="s">
        <v>1534</v>
      </c>
      <c r="D561" s="6" t="s">
        <v>64</v>
      </c>
      <c r="E561" s="6" t="s">
        <v>59</v>
      </c>
      <c r="F561" s="6" t="s">
        <v>60</v>
      </c>
      <c r="G561" s="6">
        <v>6.0</v>
      </c>
      <c r="H561" s="6">
        <v>326.34</v>
      </c>
      <c r="I561" s="6">
        <v>510.26</v>
      </c>
      <c r="J561" s="6">
        <v>18.24</v>
      </c>
      <c r="K561" s="6" t="s">
        <v>24</v>
      </c>
      <c r="L561" s="6" t="s">
        <v>55</v>
      </c>
      <c r="M561" s="6">
        <f t="shared" si="1"/>
        <v>1958.04</v>
      </c>
      <c r="N561" s="6">
        <f t="shared" si="2"/>
        <v>2503.131456</v>
      </c>
      <c r="O561" s="6">
        <f t="shared" si="3"/>
        <v>545.091456</v>
      </c>
      <c r="P561" s="7">
        <f t="shared" si="4"/>
        <v>0.2177638153</v>
      </c>
      <c r="Q561" s="6" t="s">
        <v>40</v>
      </c>
      <c r="R561" s="8">
        <f t="shared" si="5"/>
        <v>558.428544</v>
      </c>
    </row>
    <row r="562" ht="14.25" customHeight="1">
      <c r="A562" s="6" t="s">
        <v>1535</v>
      </c>
      <c r="B562" s="6" t="s">
        <v>1536</v>
      </c>
      <c r="C562" s="6" t="s">
        <v>1537</v>
      </c>
      <c r="D562" s="6" t="s">
        <v>48</v>
      </c>
      <c r="E562" s="6" t="s">
        <v>65</v>
      </c>
      <c r="F562" s="6" t="s">
        <v>75</v>
      </c>
      <c r="G562" s="6">
        <v>1.0</v>
      </c>
      <c r="H562" s="6">
        <v>357.09</v>
      </c>
      <c r="I562" s="6">
        <v>561.77</v>
      </c>
      <c r="J562" s="6">
        <v>23.92</v>
      </c>
      <c r="K562" s="6" t="s">
        <v>44</v>
      </c>
      <c r="L562" s="6" t="s">
        <v>25</v>
      </c>
      <c r="M562" s="6">
        <f t="shared" si="1"/>
        <v>357.09</v>
      </c>
      <c r="N562" s="6">
        <f t="shared" si="2"/>
        <v>427.394616</v>
      </c>
      <c r="O562" s="6">
        <f t="shared" si="3"/>
        <v>70.304616</v>
      </c>
      <c r="P562" s="7">
        <f t="shared" si="4"/>
        <v>0.1644957923</v>
      </c>
      <c r="Q562" s="6" t="s">
        <v>40</v>
      </c>
      <c r="R562" s="8">
        <f t="shared" si="5"/>
        <v>134.375384</v>
      </c>
    </row>
    <row r="563" ht="14.25" customHeight="1">
      <c r="A563" s="6" t="s">
        <v>1538</v>
      </c>
      <c r="B563" s="6" t="s">
        <v>1539</v>
      </c>
      <c r="C563" s="6" t="s">
        <v>1540</v>
      </c>
      <c r="D563" s="6" t="s">
        <v>21</v>
      </c>
      <c r="E563" s="6" t="s">
        <v>87</v>
      </c>
      <c r="F563" s="6" t="s">
        <v>88</v>
      </c>
      <c r="G563" s="6">
        <v>8.0</v>
      </c>
      <c r="H563" s="6">
        <v>301.45</v>
      </c>
      <c r="I563" s="6">
        <v>455.71</v>
      </c>
      <c r="J563" s="6">
        <v>19.8</v>
      </c>
      <c r="K563" s="6" t="s">
        <v>24</v>
      </c>
      <c r="L563" s="6" t="s">
        <v>61</v>
      </c>
      <c r="M563" s="6">
        <f t="shared" si="1"/>
        <v>2411.6</v>
      </c>
      <c r="N563" s="6">
        <f t="shared" si="2"/>
        <v>2923.83536</v>
      </c>
      <c r="O563" s="6">
        <f t="shared" si="3"/>
        <v>512.23536</v>
      </c>
      <c r="P563" s="7">
        <f t="shared" si="4"/>
        <v>0.1751929561</v>
      </c>
      <c r="Q563" s="6" t="s">
        <v>76</v>
      </c>
      <c r="R563" s="8">
        <f t="shared" si="5"/>
        <v>721.84464</v>
      </c>
    </row>
    <row r="564" ht="14.25" customHeight="1">
      <c r="A564" s="6" t="s">
        <v>1541</v>
      </c>
      <c r="B564" s="6" t="s">
        <v>1257</v>
      </c>
      <c r="C564" s="6" t="s">
        <v>1542</v>
      </c>
      <c r="D564" s="6" t="s">
        <v>83</v>
      </c>
      <c r="E564" s="6" t="s">
        <v>53</v>
      </c>
      <c r="F564" s="6" t="s">
        <v>54</v>
      </c>
      <c r="G564" s="6">
        <v>3.0</v>
      </c>
      <c r="H564" s="6">
        <v>210.08</v>
      </c>
      <c r="I564" s="6">
        <v>309.23</v>
      </c>
      <c r="J564" s="6">
        <v>15.62</v>
      </c>
      <c r="K564" s="6" t="s">
        <v>44</v>
      </c>
      <c r="L564" s="6" t="s">
        <v>61</v>
      </c>
      <c r="M564" s="6">
        <f t="shared" si="1"/>
        <v>630.24</v>
      </c>
      <c r="N564" s="6">
        <f t="shared" si="2"/>
        <v>782.784822</v>
      </c>
      <c r="O564" s="6">
        <f t="shared" si="3"/>
        <v>152.544822</v>
      </c>
      <c r="P564" s="7">
        <f t="shared" si="4"/>
        <v>0.1948745271</v>
      </c>
      <c r="Q564" s="6" t="s">
        <v>26</v>
      </c>
      <c r="R564" s="8">
        <f t="shared" si="5"/>
        <v>144.905178</v>
      </c>
    </row>
    <row r="565" ht="14.25" customHeight="1">
      <c r="A565" s="6" t="s">
        <v>1543</v>
      </c>
      <c r="B565" s="6" t="s">
        <v>1544</v>
      </c>
      <c r="C565" s="6" t="s">
        <v>1545</v>
      </c>
      <c r="D565" s="6" t="s">
        <v>64</v>
      </c>
      <c r="E565" s="6" t="s">
        <v>31</v>
      </c>
      <c r="F565" s="6" t="s">
        <v>32</v>
      </c>
      <c r="G565" s="6">
        <v>3.0</v>
      </c>
      <c r="H565" s="6">
        <v>247.44</v>
      </c>
      <c r="I565" s="6">
        <v>368.55</v>
      </c>
      <c r="J565" s="6">
        <v>3.51</v>
      </c>
      <c r="K565" s="6" t="s">
        <v>44</v>
      </c>
      <c r="L565" s="6" t="s">
        <v>55</v>
      </c>
      <c r="M565" s="6">
        <f t="shared" si="1"/>
        <v>742.32</v>
      </c>
      <c r="N565" s="6">
        <f t="shared" si="2"/>
        <v>1066.841685</v>
      </c>
      <c r="O565" s="6">
        <f t="shared" si="3"/>
        <v>324.521685</v>
      </c>
      <c r="P565" s="7">
        <f t="shared" si="4"/>
        <v>0.3041891684</v>
      </c>
      <c r="Q565" s="6" t="s">
        <v>49</v>
      </c>
      <c r="R565" s="8">
        <f t="shared" si="5"/>
        <v>38.808315</v>
      </c>
    </row>
    <row r="566" ht="14.25" customHeight="1">
      <c r="A566" s="6" t="s">
        <v>1546</v>
      </c>
      <c r="B566" s="6" t="s">
        <v>1547</v>
      </c>
      <c r="C566" s="6" t="s">
        <v>1545</v>
      </c>
      <c r="D566" s="6" t="s">
        <v>30</v>
      </c>
      <c r="E566" s="6" t="s">
        <v>38</v>
      </c>
      <c r="F566" s="6" t="s">
        <v>71</v>
      </c>
      <c r="G566" s="6">
        <v>1.0</v>
      </c>
      <c r="H566" s="6">
        <v>289.77</v>
      </c>
      <c r="I566" s="6">
        <v>373.14</v>
      </c>
      <c r="J566" s="6">
        <v>1.14</v>
      </c>
      <c r="K566" s="6" t="s">
        <v>24</v>
      </c>
      <c r="L566" s="6" t="s">
        <v>25</v>
      </c>
      <c r="M566" s="6">
        <f t="shared" si="1"/>
        <v>289.77</v>
      </c>
      <c r="N566" s="6">
        <f t="shared" si="2"/>
        <v>368.886204</v>
      </c>
      <c r="O566" s="6">
        <f t="shared" si="3"/>
        <v>79.116204</v>
      </c>
      <c r="P566" s="7">
        <f t="shared" si="4"/>
        <v>0.2144731984</v>
      </c>
      <c r="Q566" s="6" t="s">
        <v>40</v>
      </c>
      <c r="R566" s="8">
        <f t="shared" si="5"/>
        <v>4.253796</v>
      </c>
    </row>
    <row r="567" ht="14.25" customHeight="1">
      <c r="A567" s="6" t="s">
        <v>1548</v>
      </c>
      <c r="B567" s="6" t="s">
        <v>1496</v>
      </c>
      <c r="C567" s="6" t="s">
        <v>1549</v>
      </c>
      <c r="D567" s="6" t="s">
        <v>21</v>
      </c>
      <c r="E567" s="6" t="s">
        <v>65</v>
      </c>
      <c r="F567" s="6" t="s">
        <v>75</v>
      </c>
      <c r="G567" s="6">
        <v>2.0</v>
      </c>
      <c r="H567" s="6">
        <v>157.46</v>
      </c>
      <c r="I567" s="6">
        <v>189.71</v>
      </c>
      <c r="J567" s="6">
        <v>21.91</v>
      </c>
      <c r="K567" s="6" t="s">
        <v>24</v>
      </c>
      <c r="L567" s="6" t="s">
        <v>61</v>
      </c>
      <c r="M567" s="6">
        <f t="shared" si="1"/>
        <v>314.92</v>
      </c>
      <c r="N567" s="6">
        <f t="shared" si="2"/>
        <v>296.289078</v>
      </c>
      <c r="O567" s="6">
        <f t="shared" si="3"/>
        <v>-18.630922</v>
      </c>
      <c r="P567" s="7">
        <f t="shared" si="4"/>
        <v>-0.06288089364</v>
      </c>
      <c r="Q567" s="6" t="s">
        <v>34</v>
      </c>
      <c r="R567" s="8">
        <f t="shared" si="5"/>
        <v>83.130922</v>
      </c>
    </row>
    <row r="568" ht="14.25" customHeight="1">
      <c r="A568" s="6" t="s">
        <v>1550</v>
      </c>
      <c r="B568" s="6" t="s">
        <v>275</v>
      </c>
      <c r="C568" s="6" t="s">
        <v>1551</v>
      </c>
      <c r="D568" s="6" t="s">
        <v>48</v>
      </c>
      <c r="E568" s="6" t="s">
        <v>22</v>
      </c>
      <c r="F568" s="6" t="s">
        <v>23</v>
      </c>
      <c r="G568" s="6">
        <v>7.0</v>
      </c>
      <c r="H568" s="6">
        <v>71.05</v>
      </c>
      <c r="I568" s="6">
        <v>86.17</v>
      </c>
      <c r="J568" s="6">
        <v>11.22</v>
      </c>
      <c r="K568" s="6" t="s">
        <v>44</v>
      </c>
      <c r="L568" s="6" t="s">
        <v>25</v>
      </c>
      <c r="M568" s="6">
        <f t="shared" si="1"/>
        <v>497.35</v>
      </c>
      <c r="N568" s="6">
        <f t="shared" si="2"/>
        <v>535.512082</v>
      </c>
      <c r="O568" s="6">
        <f t="shared" si="3"/>
        <v>38.162082</v>
      </c>
      <c r="P568" s="7">
        <f t="shared" si="4"/>
        <v>0.07126278432</v>
      </c>
      <c r="Q568" s="6" t="s">
        <v>26</v>
      </c>
      <c r="R568" s="8">
        <f t="shared" si="5"/>
        <v>67.677918</v>
      </c>
    </row>
    <row r="569" ht="14.25" customHeight="1">
      <c r="A569" s="6" t="s">
        <v>1552</v>
      </c>
      <c r="B569" s="6" t="s">
        <v>1553</v>
      </c>
      <c r="C569" s="6" t="s">
        <v>1554</v>
      </c>
      <c r="D569" s="6" t="s">
        <v>21</v>
      </c>
      <c r="E569" s="6" t="s">
        <v>53</v>
      </c>
      <c r="F569" s="6" t="s">
        <v>54</v>
      </c>
      <c r="G569" s="6">
        <v>4.0</v>
      </c>
      <c r="H569" s="6">
        <v>68.15</v>
      </c>
      <c r="I569" s="6">
        <v>135.42</v>
      </c>
      <c r="J569" s="6">
        <v>21.31</v>
      </c>
      <c r="K569" s="6" t="s">
        <v>24</v>
      </c>
      <c r="L569" s="6" t="s">
        <v>33</v>
      </c>
      <c r="M569" s="6">
        <f t="shared" si="1"/>
        <v>272.6</v>
      </c>
      <c r="N569" s="6">
        <f t="shared" si="2"/>
        <v>426.247992</v>
      </c>
      <c r="O569" s="6">
        <f t="shared" si="3"/>
        <v>153.647992</v>
      </c>
      <c r="P569" s="7">
        <f t="shared" si="4"/>
        <v>0.3604661955</v>
      </c>
      <c r="Q569" s="6" t="s">
        <v>34</v>
      </c>
      <c r="R569" s="8">
        <f t="shared" si="5"/>
        <v>115.432008</v>
      </c>
    </row>
    <row r="570" ht="14.25" customHeight="1">
      <c r="A570" s="6" t="s">
        <v>1555</v>
      </c>
      <c r="B570" s="6" t="s">
        <v>488</v>
      </c>
      <c r="C570" s="6" t="s">
        <v>1556</v>
      </c>
      <c r="D570" s="6" t="s">
        <v>30</v>
      </c>
      <c r="E570" s="6" t="s">
        <v>87</v>
      </c>
      <c r="F570" s="6" t="s">
        <v>88</v>
      </c>
      <c r="G570" s="6">
        <v>2.0</v>
      </c>
      <c r="H570" s="6">
        <v>148.84</v>
      </c>
      <c r="I570" s="6">
        <v>265.42</v>
      </c>
      <c r="J570" s="6">
        <v>10.05</v>
      </c>
      <c r="K570" s="6" t="s">
        <v>24</v>
      </c>
      <c r="L570" s="6" t="s">
        <v>33</v>
      </c>
      <c r="M570" s="6">
        <f t="shared" si="1"/>
        <v>297.68</v>
      </c>
      <c r="N570" s="6">
        <f t="shared" si="2"/>
        <v>477.49058</v>
      </c>
      <c r="O570" s="6">
        <f t="shared" si="3"/>
        <v>179.81058</v>
      </c>
      <c r="P570" s="7">
        <f t="shared" si="4"/>
        <v>0.3765740886</v>
      </c>
      <c r="Q570" s="6" t="s">
        <v>34</v>
      </c>
      <c r="R570" s="8">
        <f t="shared" si="5"/>
        <v>53.34942</v>
      </c>
    </row>
    <row r="571" ht="14.25" customHeight="1">
      <c r="A571" s="6" t="s">
        <v>1557</v>
      </c>
      <c r="B571" s="6" t="s">
        <v>63</v>
      </c>
      <c r="C571" s="6" t="s">
        <v>1558</v>
      </c>
      <c r="D571" s="6" t="s">
        <v>21</v>
      </c>
      <c r="E571" s="6" t="s">
        <v>53</v>
      </c>
      <c r="F571" s="6" t="s">
        <v>54</v>
      </c>
      <c r="G571" s="6">
        <v>2.0</v>
      </c>
      <c r="H571" s="6">
        <v>298.73</v>
      </c>
      <c r="I571" s="6">
        <v>354.71</v>
      </c>
      <c r="J571" s="6">
        <v>24.67</v>
      </c>
      <c r="K571" s="6" t="s">
        <v>24</v>
      </c>
      <c r="L571" s="6" t="s">
        <v>61</v>
      </c>
      <c r="M571" s="6">
        <f t="shared" si="1"/>
        <v>597.46</v>
      </c>
      <c r="N571" s="6">
        <f t="shared" si="2"/>
        <v>534.406086</v>
      </c>
      <c r="O571" s="6">
        <f t="shared" si="3"/>
        <v>-63.053914</v>
      </c>
      <c r="P571" s="7">
        <f t="shared" si="4"/>
        <v>-0.1179887648</v>
      </c>
      <c r="Q571" s="6" t="s">
        <v>40</v>
      </c>
      <c r="R571" s="8">
        <f t="shared" si="5"/>
        <v>175.013914</v>
      </c>
    </row>
    <row r="572" ht="14.25" customHeight="1">
      <c r="A572" s="6" t="s">
        <v>1559</v>
      </c>
      <c r="B572" s="6" t="s">
        <v>1237</v>
      </c>
      <c r="C572" s="6" t="s">
        <v>1558</v>
      </c>
      <c r="D572" s="6" t="s">
        <v>30</v>
      </c>
      <c r="E572" s="6" t="s">
        <v>104</v>
      </c>
      <c r="F572" s="6" t="s">
        <v>105</v>
      </c>
      <c r="G572" s="6">
        <v>6.0</v>
      </c>
      <c r="H572" s="6">
        <v>335.24</v>
      </c>
      <c r="I572" s="6">
        <v>425.31</v>
      </c>
      <c r="J572" s="6">
        <v>18.36</v>
      </c>
      <c r="K572" s="6" t="s">
        <v>44</v>
      </c>
      <c r="L572" s="6" t="s">
        <v>61</v>
      </c>
      <c r="M572" s="6">
        <f t="shared" si="1"/>
        <v>2011.44</v>
      </c>
      <c r="N572" s="6">
        <f t="shared" si="2"/>
        <v>2083.338504</v>
      </c>
      <c r="O572" s="6">
        <f t="shared" si="3"/>
        <v>71.898504</v>
      </c>
      <c r="P572" s="7">
        <f t="shared" si="4"/>
        <v>0.03451119627</v>
      </c>
      <c r="Q572" s="6" t="s">
        <v>76</v>
      </c>
      <c r="R572" s="8">
        <f t="shared" si="5"/>
        <v>468.521496</v>
      </c>
    </row>
    <row r="573" ht="14.25" customHeight="1">
      <c r="A573" s="6" t="s">
        <v>1560</v>
      </c>
      <c r="B573" s="6" t="s">
        <v>532</v>
      </c>
      <c r="C573" s="6" t="s">
        <v>1561</v>
      </c>
      <c r="D573" s="6" t="s">
        <v>70</v>
      </c>
      <c r="E573" s="6" t="s">
        <v>31</v>
      </c>
      <c r="F573" s="6" t="s">
        <v>32</v>
      </c>
      <c r="G573" s="6">
        <v>7.0</v>
      </c>
      <c r="H573" s="6">
        <v>378.3</v>
      </c>
      <c r="I573" s="6">
        <v>479.97</v>
      </c>
      <c r="J573" s="6">
        <v>1.84</v>
      </c>
      <c r="K573" s="6" t="s">
        <v>44</v>
      </c>
      <c r="L573" s="6" t="s">
        <v>61</v>
      </c>
      <c r="M573" s="6">
        <f t="shared" si="1"/>
        <v>2648.1</v>
      </c>
      <c r="N573" s="6">
        <f t="shared" si="2"/>
        <v>3297.969864</v>
      </c>
      <c r="O573" s="6">
        <f t="shared" si="3"/>
        <v>649.869864</v>
      </c>
      <c r="P573" s="7">
        <f t="shared" si="4"/>
        <v>0.1970514865</v>
      </c>
      <c r="Q573" s="6" t="s">
        <v>34</v>
      </c>
      <c r="R573" s="8">
        <f t="shared" si="5"/>
        <v>61.820136</v>
      </c>
    </row>
    <row r="574" ht="14.25" customHeight="1">
      <c r="A574" s="6" t="s">
        <v>1562</v>
      </c>
      <c r="B574" s="6" t="s">
        <v>535</v>
      </c>
      <c r="C574" s="6" t="s">
        <v>1563</v>
      </c>
      <c r="D574" s="6" t="s">
        <v>83</v>
      </c>
      <c r="E574" s="6" t="s">
        <v>31</v>
      </c>
      <c r="F574" s="6" t="s">
        <v>32</v>
      </c>
      <c r="G574" s="6">
        <v>2.0</v>
      </c>
      <c r="H574" s="6">
        <v>330.07</v>
      </c>
      <c r="I574" s="6">
        <v>511.52</v>
      </c>
      <c r="J574" s="6">
        <v>7.52</v>
      </c>
      <c r="K574" s="6" t="s">
        <v>24</v>
      </c>
      <c r="L574" s="6" t="s">
        <v>25</v>
      </c>
      <c r="M574" s="6">
        <f t="shared" si="1"/>
        <v>660.14</v>
      </c>
      <c r="N574" s="6">
        <f t="shared" si="2"/>
        <v>946.107392</v>
      </c>
      <c r="O574" s="6">
        <f t="shared" si="3"/>
        <v>285.967392</v>
      </c>
      <c r="P574" s="7">
        <f t="shared" si="4"/>
        <v>0.3022567992</v>
      </c>
      <c r="Q574" s="6" t="s">
        <v>26</v>
      </c>
      <c r="R574" s="8">
        <f t="shared" si="5"/>
        <v>76.932608</v>
      </c>
    </row>
    <row r="575" ht="14.25" customHeight="1">
      <c r="A575" s="6" t="s">
        <v>1564</v>
      </c>
      <c r="B575" s="6" t="s">
        <v>1565</v>
      </c>
      <c r="C575" s="6" t="s">
        <v>1566</v>
      </c>
      <c r="D575" s="6" t="s">
        <v>21</v>
      </c>
      <c r="E575" s="6" t="s">
        <v>65</v>
      </c>
      <c r="F575" s="6" t="s">
        <v>66</v>
      </c>
      <c r="G575" s="6">
        <v>2.0</v>
      </c>
      <c r="H575" s="6">
        <v>307.69</v>
      </c>
      <c r="I575" s="6">
        <v>369.82</v>
      </c>
      <c r="J575" s="6">
        <v>2.96</v>
      </c>
      <c r="K575" s="6" t="s">
        <v>44</v>
      </c>
      <c r="L575" s="6" t="s">
        <v>55</v>
      </c>
      <c r="M575" s="6">
        <f t="shared" si="1"/>
        <v>615.38</v>
      </c>
      <c r="N575" s="6">
        <f t="shared" si="2"/>
        <v>717.746656</v>
      </c>
      <c r="O575" s="6">
        <f t="shared" si="3"/>
        <v>102.366656</v>
      </c>
      <c r="P575" s="7">
        <f t="shared" si="4"/>
        <v>0.1426222681</v>
      </c>
      <c r="Q575" s="6" t="s">
        <v>34</v>
      </c>
      <c r="R575" s="8">
        <f t="shared" si="5"/>
        <v>21.893344</v>
      </c>
    </row>
    <row r="576" ht="14.25" customHeight="1">
      <c r="A576" s="6" t="s">
        <v>1567</v>
      </c>
      <c r="B576" s="6" t="s">
        <v>1568</v>
      </c>
      <c r="C576" s="6" t="s">
        <v>1569</v>
      </c>
      <c r="D576" s="6" t="s">
        <v>48</v>
      </c>
      <c r="E576" s="6" t="s">
        <v>53</v>
      </c>
      <c r="F576" s="6" t="s">
        <v>54</v>
      </c>
      <c r="G576" s="6">
        <v>5.0</v>
      </c>
      <c r="H576" s="6">
        <v>234.71</v>
      </c>
      <c r="I576" s="6">
        <v>335.09</v>
      </c>
      <c r="J576" s="6">
        <v>8.95</v>
      </c>
      <c r="K576" s="6" t="s">
        <v>44</v>
      </c>
      <c r="L576" s="6" t="s">
        <v>33</v>
      </c>
      <c r="M576" s="6">
        <f t="shared" si="1"/>
        <v>1173.55</v>
      </c>
      <c r="N576" s="6">
        <f t="shared" si="2"/>
        <v>1525.497225</v>
      </c>
      <c r="O576" s="6">
        <f t="shared" si="3"/>
        <v>351.947225</v>
      </c>
      <c r="P576" s="7">
        <f t="shared" si="4"/>
        <v>0.2307098428</v>
      </c>
      <c r="Q576" s="6" t="s">
        <v>26</v>
      </c>
      <c r="R576" s="8">
        <f t="shared" si="5"/>
        <v>149.952775</v>
      </c>
    </row>
    <row r="577" ht="14.25" customHeight="1">
      <c r="A577" s="6" t="s">
        <v>1570</v>
      </c>
      <c r="B577" s="6" t="s">
        <v>740</v>
      </c>
      <c r="C577" s="6" t="s">
        <v>1571</v>
      </c>
      <c r="D577" s="6" t="s">
        <v>48</v>
      </c>
      <c r="E577" s="6" t="s">
        <v>31</v>
      </c>
      <c r="F577" s="6" t="s">
        <v>32</v>
      </c>
      <c r="G577" s="6">
        <v>7.0</v>
      </c>
      <c r="H577" s="6">
        <v>349.5</v>
      </c>
      <c r="I577" s="6">
        <v>539.09</v>
      </c>
      <c r="J577" s="6">
        <v>18.68</v>
      </c>
      <c r="K577" s="6" t="s">
        <v>44</v>
      </c>
      <c r="L577" s="6" t="s">
        <v>61</v>
      </c>
      <c r="M577" s="6">
        <f t="shared" si="1"/>
        <v>2446.5</v>
      </c>
      <c r="N577" s="6">
        <f t="shared" si="2"/>
        <v>3068.715916</v>
      </c>
      <c r="O577" s="6">
        <f t="shared" si="3"/>
        <v>622.215916</v>
      </c>
      <c r="P577" s="7">
        <f t="shared" si="4"/>
        <v>0.2027610027</v>
      </c>
      <c r="Q577" s="6" t="s">
        <v>34</v>
      </c>
      <c r="R577" s="8">
        <f t="shared" si="5"/>
        <v>704.914084</v>
      </c>
    </row>
    <row r="578" ht="14.25" customHeight="1">
      <c r="A578" s="6" t="s">
        <v>1572</v>
      </c>
      <c r="B578" s="6" t="s">
        <v>1425</v>
      </c>
      <c r="C578" s="6" t="s">
        <v>1573</v>
      </c>
      <c r="D578" s="6" t="s">
        <v>48</v>
      </c>
      <c r="E578" s="6" t="s">
        <v>38</v>
      </c>
      <c r="F578" s="6" t="s">
        <v>39</v>
      </c>
      <c r="G578" s="6">
        <v>3.0</v>
      </c>
      <c r="H578" s="6">
        <v>205.64</v>
      </c>
      <c r="I578" s="6">
        <v>342.03</v>
      </c>
      <c r="J578" s="6">
        <v>20.39</v>
      </c>
      <c r="K578" s="6" t="s">
        <v>24</v>
      </c>
      <c r="L578" s="6" t="s">
        <v>33</v>
      </c>
      <c r="M578" s="6">
        <f t="shared" si="1"/>
        <v>616.92</v>
      </c>
      <c r="N578" s="6">
        <f t="shared" si="2"/>
        <v>816.870249</v>
      </c>
      <c r="O578" s="6">
        <f t="shared" si="3"/>
        <v>199.950249</v>
      </c>
      <c r="P578" s="7">
        <f t="shared" si="4"/>
        <v>0.2447760207</v>
      </c>
      <c r="Q578" s="6" t="s">
        <v>40</v>
      </c>
      <c r="R578" s="8">
        <f t="shared" si="5"/>
        <v>209.219751</v>
      </c>
    </row>
    <row r="579" ht="14.25" customHeight="1">
      <c r="A579" s="6" t="s">
        <v>1574</v>
      </c>
      <c r="B579" s="6" t="s">
        <v>449</v>
      </c>
      <c r="C579" s="6" t="s">
        <v>1575</v>
      </c>
      <c r="D579" s="6" t="s">
        <v>21</v>
      </c>
      <c r="E579" s="6" t="s">
        <v>31</v>
      </c>
      <c r="F579" s="6" t="s">
        <v>32</v>
      </c>
      <c r="G579" s="6">
        <v>3.0</v>
      </c>
      <c r="H579" s="6">
        <v>132.97</v>
      </c>
      <c r="I579" s="6">
        <v>252.21</v>
      </c>
      <c r="J579" s="6">
        <v>8.67</v>
      </c>
      <c r="K579" s="6" t="s">
        <v>44</v>
      </c>
      <c r="L579" s="6" t="s">
        <v>55</v>
      </c>
      <c r="M579" s="6">
        <f t="shared" si="1"/>
        <v>398.91</v>
      </c>
      <c r="N579" s="6">
        <f t="shared" si="2"/>
        <v>691.030179</v>
      </c>
      <c r="O579" s="6">
        <f t="shared" si="3"/>
        <v>292.120179</v>
      </c>
      <c r="P579" s="7">
        <f t="shared" si="4"/>
        <v>0.4227314347</v>
      </c>
      <c r="Q579" s="6" t="s">
        <v>34</v>
      </c>
      <c r="R579" s="8">
        <f t="shared" si="5"/>
        <v>65.599821</v>
      </c>
    </row>
    <row r="580" ht="14.25" customHeight="1">
      <c r="A580" s="6" t="s">
        <v>1576</v>
      </c>
      <c r="B580" s="6" t="s">
        <v>1577</v>
      </c>
      <c r="C580" s="6" t="s">
        <v>1578</v>
      </c>
      <c r="D580" s="6" t="s">
        <v>70</v>
      </c>
      <c r="E580" s="6" t="s">
        <v>38</v>
      </c>
      <c r="F580" s="6" t="s">
        <v>71</v>
      </c>
      <c r="G580" s="6">
        <v>8.0</v>
      </c>
      <c r="H580" s="6">
        <v>127.28</v>
      </c>
      <c r="I580" s="6">
        <v>169.78</v>
      </c>
      <c r="J580" s="6">
        <v>24.93</v>
      </c>
      <c r="K580" s="6" t="s">
        <v>24</v>
      </c>
      <c r="L580" s="6" t="s">
        <v>25</v>
      </c>
      <c r="M580" s="6">
        <f t="shared" si="1"/>
        <v>1018.24</v>
      </c>
      <c r="N580" s="6">
        <f t="shared" si="2"/>
        <v>1019.630768</v>
      </c>
      <c r="O580" s="6">
        <f t="shared" si="3"/>
        <v>1.390768</v>
      </c>
      <c r="P580" s="7">
        <f t="shared" si="4"/>
        <v>0.001363991794</v>
      </c>
      <c r="Q580" s="6" t="s">
        <v>26</v>
      </c>
      <c r="R580" s="8">
        <f t="shared" si="5"/>
        <v>338.609232</v>
      </c>
    </row>
    <row r="581" ht="14.25" customHeight="1">
      <c r="A581" s="6" t="s">
        <v>1579</v>
      </c>
      <c r="B581" s="6" t="s">
        <v>494</v>
      </c>
      <c r="C581" s="6" t="s">
        <v>1578</v>
      </c>
      <c r="D581" s="6" t="s">
        <v>70</v>
      </c>
      <c r="E581" s="6" t="s">
        <v>87</v>
      </c>
      <c r="F581" s="6" t="s">
        <v>88</v>
      </c>
      <c r="G581" s="6">
        <v>1.0</v>
      </c>
      <c r="H581" s="6">
        <v>389.49</v>
      </c>
      <c r="I581" s="6">
        <v>498.82</v>
      </c>
      <c r="J581" s="6">
        <v>15.0</v>
      </c>
      <c r="K581" s="6" t="s">
        <v>44</v>
      </c>
      <c r="L581" s="6" t="s">
        <v>25</v>
      </c>
      <c r="M581" s="6">
        <f t="shared" si="1"/>
        <v>389.49</v>
      </c>
      <c r="N581" s="6">
        <f t="shared" si="2"/>
        <v>423.997</v>
      </c>
      <c r="O581" s="6">
        <f t="shared" si="3"/>
        <v>34.507</v>
      </c>
      <c r="P581" s="7">
        <f t="shared" si="4"/>
        <v>0.0813850098</v>
      </c>
      <c r="Q581" s="6" t="s">
        <v>34</v>
      </c>
      <c r="R581" s="8">
        <f t="shared" si="5"/>
        <v>74.823</v>
      </c>
    </row>
    <row r="582" ht="14.25" customHeight="1">
      <c r="A582" s="6" t="s">
        <v>1580</v>
      </c>
      <c r="B582" s="6" t="s">
        <v>292</v>
      </c>
      <c r="C582" s="6" t="s">
        <v>1581</v>
      </c>
      <c r="D582" s="6" t="s">
        <v>21</v>
      </c>
      <c r="E582" s="6" t="s">
        <v>65</v>
      </c>
      <c r="F582" s="6" t="s">
        <v>66</v>
      </c>
      <c r="G582" s="6">
        <v>3.0</v>
      </c>
      <c r="H582" s="6">
        <v>48.99</v>
      </c>
      <c r="I582" s="6">
        <v>94.13</v>
      </c>
      <c r="J582" s="6">
        <v>9.75</v>
      </c>
      <c r="K582" s="6" t="s">
        <v>24</v>
      </c>
      <c r="L582" s="6" t="s">
        <v>55</v>
      </c>
      <c r="M582" s="6">
        <f t="shared" si="1"/>
        <v>146.97</v>
      </c>
      <c r="N582" s="6">
        <f t="shared" si="2"/>
        <v>254.856975</v>
      </c>
      <c r="O582" s="6">
        <f t="shared" si="3"/>
        <v>107.886975</v>
      </c>
      <c r="P582" s="7">
        <f t="shared" si="4"/>
        <v>0.4233236112</v>
      </c>
      <c r="Q582" s="6" t="s">
        <v>40</v>
      </c>
      <c r="R582" s="8">
        <f t="shared" si="5"/>
        <v>27.533025</v>
      </c>
    </row>
    <row r="583" ht="14.25" customHeight="1">
      <c r="A583" s="6" t="s">
        <v>1582</v>
      </c>
      <c r="B583" s="6" t="s">
        <v>494</v>
      </c>
      <c r="C583" s="6" t="s">
        <v>1583</v>
      </c>
      <c r="D583" s="6" t="s">
        <v>48</v>
      </c>
      <c r="E583" s="6" t="s">
        <v>65</v>
      </c>
      <c r="F583" s="6" t="s">
        <v>66</v>
      </c>
      <c r="G583" s="6">
        <v>8.0</v>
      </c>
      <c r="H583" s="6">
        <v>201.13</v>
      </c>
      <c r="I583" s="6">
        <v>333.14</v>
      </c>
      <c r="J583" s="6">
        <v>16.29</v>
      </c>
      <c r="K583" s="6" t="s">
        <v>44</v>
      </c>
      <c r="L583" s="6" t="s">
        <v>25</v>
      </c>
      <c r="M583" s="6">
        <f t="shared" si="1"/>
        <v>1609.04</v>
      </c>
      <c r="N583" s="6">
        <f t="shared" si="2"/>
        <v>2230.971952</v>
      </c>
      <c r="O583" s="6">
        <f t="shared" si="3"/>
        <v>621.931952</v>
      </c>
      <c r="P583" s="7">
        <f t="shared" si="4"/>
        <v>0.2787717485</v>
      </c>
      <c r="Q583" s="6" t="s">
        <v>76</v>
      </c>
      <c r="R583" s="8">
        <f t="shared" si="5"/>
        <v>434.148048</v>
      </c>
    </row>
    <row r="584" ht="14.25" customHeight="1">
      <c r="A584" s="6" t="s">
        <v>1584</v>
      </c>
      <c r="B584" s="6" t="s">
        <v>1585</v>
      </c>
      <c r="C584" s="6" t="s">
        <v>1586</v>
      </c>
      <c r="D584" s="6" t="s">
        <v>21</v>
      </c>
      <c r="E584" s="6" t="s">
        <v>65</v>
      </c>
      <c r="F584" s="6" t="s">
        <v>75</v>
      </c>
      <c r="G584" s="6">
        <v>1.0</v>
      </c>
      <c r="H584" s="6">
        <v>231.72</v>
      </c>
      <c r="I584" s="6">
        <v>380.33</v>
      </c>
      <c r="J584" s="6">
        <v>22.3</v>
      </c>
      <c r="K584" s="6" t="s">
        <v>44</v>
      </c>
      <c r="L584" s="6" t="s">
        <v>55</v>
      </c>
      <c r="M584" s="6">
        <f t="shared" si="1"/>
        <v>231.72</v>
      </c>
      <c r="N584" s="6">
        <f t="shared" si="2"/>
        <v>295.51641</v>
      </c>
      <c r="O584" s="6">
        <f t="shared" si="3"/>
        <v>63.79641</v>
      </c>
      <c r="P584" s="7">
        <f t="shared" si="4"/>
        <v>0.2158811079</v>
      </c>
      <c r="Q584" s="6" t="s">
        <v>40</v>
      </c>
      <c r="R584" s="8">
        <f t="shared" si="5"/>
        <v>84.81359</v>
      </c>
    </row>
    <row r="585" ht="14.25" customHeight="1">
      <c r="A585" s="6" t="s">
        <v>1587</v>
      </c>
      <c r="B585" s="6" t="s">
        <v>1588</v>
      </c>
      <c r="C585" s="6" t="s">
        <v>1589</v>
      </c>
      <c r="D585" s="6" t="s">
        <v>64</v>
      </c>
      <c r="E585" s="6" t="s">
        <v>65</v>
      </c>
      <c r="F585" s="6" t="s">
        <v>75</v>
      </c>
      <c r="G585" s="6">
        <v>5.0</v>
      </c>
      <c r="H585" s="6">
        <v>146.7</v>
      </c>
      <c r="I585" s="6">
        <v>189.29</v>
      </c>
      <c r="J585" s="6">
        <v>15.17</v>
      </c>
      <c r="K585" s="6" t="s">
        <v>24</v>
      </c>
      <c r="L585" s="6" t="s">
        <v>61</v>
      </c>
      <c r="M585" s="6">
        <f t="shared" si="1"/>
        <v>733.5</v>
      </c>
      <c r="N585" s="6">
        <f t="shared" si="2"/>
        <v>802.873535</v>
      </c>
      <c r="O585" s="6">
        <f t="shared" si="3"/>
        <v>69.373535</v>
      </c>
      <c r="P585" s="7">
        <f t="shared" si="4"/>
        <v>0.08640655343</v>
      </c>
      <c r="Q585" s="6" t="s">
        <v>76</v>
      </c>
      <c r="R585" s="8">
        <f t="shared" si="5"/>
        <v>143.576465</v>
      </c>
    </row>
    <row r="586" ht="14.25" customHeight="1">
      <c r="A586" s="6" t="s">
        <v>1590</v>
      </c>
      <c r="B586" s="6" t="s">
        <v>188</v>
      </c>
      <c r="C586" s="6" t="s">
        <v>1591</v>
      </c>
      <c r="D586" s="6" t="s">
        <v>83</v>
      </c>
      <c r="E586" s="6" t="s">
        <v>38</v>
      </c>
      <c r="F586" s="6" t="s">
        <v>71</v>
      </c>
      <c r="G586" s="6">
        <v>8.0</v>
      </c>
      <c r="H586" s="6">
        <v>334.05</v>
      </c>
      <c r="I586" s="6">
        <v>559.8</v>
      </c>
      <c r="J586" s="6">
        <v>10.67</v>
      </c>
      <c r="K586" s="6" t="s">
        <v>44</v>
      </c>
      <c r="L586" s="6" t="s">
        <v>25</v>
      </c>
      <c r="M586" s="6">
        <f t="shared" si="1"/>
        <v>2672.4</v>
      </c>
      <c r="N586" s="6">
        <f t="shared" si="2"/>
        <v>4000.55472</v>
      </c>
      <c r="O586" s="6">
        <f t="shared" si="3"/>
        <v>1328.15472</v>
      </c>
      <c r="P586" s="7">
        <f t="shared" si="4"/>
        <v>0.3319926393</v>
      </c>
      <c r="Q586" s="6" t="s">
        <v>40</v>
      </c>
      <c r="R586" s="8">
        <f t="shared" si="5"/>
        <v>477.84528</v>
      </c>
    </row>
    <row r="587" ht="14.25" customHeight="1">
      <c r="A587" s="6" t="s">
        <v>1592</v>
      </c>
      <c r="B587" s="6" t="s">
        <v>704</v>
      </c>
      <c r="C587" s="6" t="s">
        <v>1591</v>
      </c>
      <c r="D587" s="6" t="s">
        <v>48</v>
      </c>
      <c r="E587" s="6" t="s">
        <v>65</v>
      </c>
      <c r="F587" s="6" t="s">
        <v>75</v>
      </c>
      <c r="G587" s="6">
        <v>4.0</v>
      </c>
      <c r="H587" s="6">
        <v>307.56</v>
      </c>
      <c r="I587" s="6">
        <v>444.58</v>
      </c>
      <c r="J587" s="6">
        <v>2.43</v>
      </c>
      <c r="K587" s="6" t="s">
        <v>44</v>
      </c>
      <c r="L587" s="6" t="s">
        <v>55</v>
      </c>
      <c r="M587" s="6">
        <f t="shared" si="1"/>
        <v>1230.24</v>
      </c>
      <c r="N587" s="6">
        <f t="shared" si="2"/>
        <v>1735.106824</v>
      </c>
      <c r="O587" s="6">
        <f t="shared" si="3"/>
        <v>504.866824</v>
      </c>
      <c r="P587" s="7">
        <f t="shared" si="4"/>
        <v>0.2909716088</v>
      </c>
      <c r="Q587" s="6" t="s">
        <v>34</v>
      </c>
      <c r="R587" s="8">
        <f t="shared" si="5"/>
        <v>43.213176</v>
      </c>
    </row>
    <row r="588" ht="14.25" customHeight="1">
      <c r="A588" s="6" t="s">
        <v>1593</v>
      </c>
      <c r="B588" s="6" t="s">
        <v>1032</v>
      </c>
      <c r="C588" s="6" t="s">
        <v>1594</v>
      </c>
      <c r="D588" s="6" t="s">
        <v>30</v>
      </c>
      <c r="E588" s="6" t="s">
        <v>87</v>
      </c>
      <c r="F588" s="6" t="s">
        <v>88</v>
      </c>
      <c r="G588" s="6">
        <v>3.0</v>
      </c>
      <c r="H588" s="6">
        <v>144.57</v>
      </c>
      <c r="I588" s="6">
        <v>257.19</v>
      </c>
      <c r="J588" s="6">
        <v>20.06</v>
      </c>
      <c r="K588" s="6" t="s">
        <v>44</v>
      </c>
      <c r="L588" s="6" t="s">
        <v>33</v>
      </c>
      <c r="M588" s="6">
        <f t="shared" si="1"/>
        <v>433.71</v>
      </c>
      <c r="N588" s="6">
        <f t="shared" si="2"/>
        <v>616.793058</v>
      </c>
      <c r="O588" s="6">
        <f t="shared" si="3"/>
        <v>183.083058</v>
      </c>
      <c r="P588" s="7">
        <f t="shared" si="4"/>
        <v>0.2968306073</v>
      </c>
      <c r="Q588" s="6" t="s">
        <v>26</v>
      </c>
      <c r="R588" s="8">
        <f t="shared" si="5"/>
        <v>154.776942</v>
      </c>
    </row>
    <row r="589" ht="14.25" customHeight="1">
      <c r="A589" s="6" t="s">
        <v>1595</v>
      </c>
      <c r="B589" s="6" t="s">
        <v>1150</v>
      </c>
      <c r="C589" s="6" t="s">
        <v>1596</v>
      </c>
      <c r="D589" s="6" t="s">
        <v>30</v>
      </c>
      <c r="E589" s="6" t="s">
        <v>59</v>
      </c>
      <c r="F589" s="6" t="s">
        <v>60</v>
      </c>
      <c r="G589" s="6">
        <v>5.0</v>
      </c>
      <c r="H589" s="6">
        <v>430.45</v>
      </c>
      <c r="I589" s="6">
        <v>594.55</v>
      </c>
      <c r="J589" s="6">
        <v>13.92</v>
      </c>
      <c r="K589" s="6" t="s">
        <v>44</v>
      </c>
      <c r="L589" s="6" t="s">
        <v>25</v>
      </c>
      <c r="M589" s="6">
        <f t="shared" si="1"/>
        <v>2152.25</v>
      </c>
      <c r="N589" s="6">
        <f t="shared" si="2"/>
        <v>2558.9432</v>
      </c>
      <c r="O589" s="6">
        <f t="shared" si="3"/>
        <v>406.6932</v>
      </c>
      <c r="P589" s="7">
        <f t="shared" si="4"/>
        <v>0.1589301396</v>
      </c>
      <c r="Q589" s="6" t="s">
        <v>40</v>
      </c>
      <c r="R589" s="8">
        <f t="shared" si="5"/>
        <v>413.8068</v>
      </c>
    </row>
    <row r="590" ht="14.25" customHeight="1">
      <c r="A590" s="6" t="s">
        <v>1597</v>
      </c>
      <c r="B590" s="6" t="s">
        <v>1598</v>
      </c>
      <c r="C590" s="6" t="s">
        <v>1599</v>
      </c>
      <c r="D590" s="6" t="s">
        <v>30</v>
      </c>
      <c r="E590" s="6" t="s">
        <v>38</v>
      </c>
      <c r="F590" s="6" t="s">
        <v>71</v>
      </c>
      <c r="G590" s="6">
        <v>8.0</v>
      </c>
      <c r="H590" s="6">
        <v>100.71</v>
      </c>
      <c r="I590" s="6">
        <v>166.51</v>
      </c>
      <c r="J590" s="6">
        <v>0.72</v>
      </c>
      <c r="K590" s="6" t="s">
        <v>24</v>
      </c>
      <c r="L590" s="6" t="s">
        <v>55</v>
      </c>
      <c r="M590" s="6">
        <f t="shared" si="1"/>
        <v>805.68</v>
      </c>
      <c r="N590" s="6">
        <f t="shared" si="2"/>
        <v>1322.489024</v>
      </c>
      <c r="O590" s="6">
        <f t="shared" si="3"/>
        <v>516.809024</v>
      </c>
      <c r="P590" s="7">
        <f t="shared" si="4"/>
        <v>0.390785114</v>
      </c>
      <c r="Q590" s="6" t="s">
        <v>40</v>
      </c>
      <c r="R590" s="8">
        <f t="shared" si="5"/>
        <v>9.590976</v>
      </c>
    </row>
    <row r="591" ht="14.25" customHeight="1">
      <c r="A591" s="6" t="s">
        <v>1600</v>
      </c>
      <c r="B591" s="6" t="s">
        <v>123</v>
      </c>
      <c r="C591" s="6" t="s">
        <v>1599</v>
      </c>
      <c r="D591" s="6" t="s">
        <v>48</v>
      </c>
      <c r="E591" s="6" t="s">
        <v>59</v>
      </c>
      <c r="F591" s="6" t="s">
        <v>60</v>
      </c>
      <c r="G591" s="6">
        <v>7.0</v>
      </c>
      <c r="H591" s="6">
        <v>175.35</v>
      </c>
      <c r="I591" s="6">
        <v>315.9</v>
      </c>
      <c r="J591" s="6">
        <v>7.79</v>
      </c>
      <c r="K591" s="6" t="s">
        <v>44</v>
      </c>
      <c r="L591" s="6" t="s">
        <v>25</v>
      </c>
      <c r="M591" s="6">
        <f t="shared" si="1"/>
        <v>1227.45</v>
      </c>
      <c r="N591" s="6">
        <f t="shared" si="2"/>
        <v>2039.03973</v>
      </c>
      <c r="O591" s="6">
        <f t="shared" si="3"/>
        <v>811.58973</v>
      </c>
      <c r="P591" s="7">
        <f t="shared" si="4"/>
        <v>0.3980254617</v>
      </c>
      <c r="Q591" s="6" t="s">
        <v>76</v>
      </c>
      <c r="R591" s="8">
        <f t="shared" si="5"/>
        <v>172.26027</v>
      </c>
    </row>
    <row r="592" ht="14.25" customHeight="1">
      <c r="A592" s="6" t="s">
        <v>1601</v>
      </c>
      <c r="B592" s="6" t="s">
        <v>1602</v>
      </c>
      <c r="C592" s="6" t="s">
        <v>1603</v>
      </c>
      <c r="D592" s="6" t="s">
        <v>30</v>
      </c>
      <c r="E592" s="6" t="s">
        <v>38</v>
      </c>
      <c r="F592" s="6" t="s">
        <v>71</v>
      </c>
      <c r="G592" s="6">
        <v>1.0</v>
      </c>
      <c r="H592" s="6">
        <v>301.06</v>
      </c>
      <c r="I592" s="6">
        <v>417.3</v>
      </c>
      <c r="J592" s="6">
        <v>24.31</v>
      </c>
      <c r="K592" s="6" t="s">
        <v>24</v>
      </c>
      <c r="L592" s="6" t="s">
        <v>33</v>
      </c>
      <c r="M592" s="6">
        <f t="shared" si="1"/>
        <v>301.06</v>
      </c>
      <c r="N592" s="6">
        <f t="shared" si="2"/>
        <v>315.85437</v>
      </c>
      <c r="O592" s="6">
        <f t="shared" si="3"/>
        <v>14.79437</v>
      </c>
      <c r="P592" s="7">
        <f t="shared" si="4"/>
        <v>0.04683921264</v>
      </c>
      <c r="Q592" s="6" t="s">
        <v>34</v>
      </c>
      <c r="R592" s="8">
        <f t="shared" si="5"/>
        <v>101.44563</v>
      </c>
    </row>
    <row r="593" ht="14.25" customHeight="1">
      <c r="A593" s="6" t="s">
        <v>1604</v>
      </c>
      <c r="B593" s="6" t="s">
        <v>228</v>
      </c>
      <c r="C593" s="6" t="s">
        <v>1605</v>
      </c>
      <c r="D593" s="6" t="s">
        <v>83</v>
      </c>
      <c r="E593" s="6" t="s">
        <v>104</v>
      </c>
      <c r="F593" s="6" t="s">
        <v>105</v>
      </c>
      <c r="G593" s="6">
        <v>8.0</v>
      </c>
      <c r="H593" s="6">
        <v>461.32</v>
      </c>
      <c r="I593" s="6">
        <v>565.43</v>
      </c>
      <c r="J593" s="6">
        <v>13.75</v>
      </c>
      <c r="K593" s="6" t="s">
        <v>24</v>
      </c>
      <c r="L593" s="6" t="s">
        <v>61</v>
      </c>
      <c r="M593" s="6">
        <f t="shared" si="1"/>
        <v>3690.56</v>
      </c>
      <c r="N593" s="6">
        <f t="shared" si="2"/>
        <v>3901.467</v>
      </c>
      <c r="O593" s="6">
        <f t="shared" si="3"/>
        <v>210.907</v>
      </c>
      <c r="P593" s="7">
        <f t="shared" si="4"/>
        <v>0.05405838368</v>
      </c>
      <c r="Q593" s="6" t="s">
        <v>40</v>
      </c>
      <c r="R593" s="8">
        <f t="shared" si="5"/>
        <v>621.973</v>
      </c>
    </row>
    <row r="594" ht="14.25" customHeight="1">
      <c r="A594" s="6" t="s">
        <v>1606</v>
      </c>
      <c r="B594" s="6" t="s">
        <v>877</v>
      </c>
      <c r="C594" s="6" t="s">
        <v>1605</v>
      </c>
      <c r="D594" s="6" t="s">
        <v>64</v>
      </c>
      <c r="E594" s="6" t="s">
        <v>38</v>
      </c>
      <c r="F594" s="6" t="s">
        <v>71</v>
      </c>
      <c r="G594" s="6">
        <v>7.0</v>
      </c>
      <c r="H594" s="6">
        <v>216.56</v>
      </c>
      <c r="I594" s="6">
        <v>375.91</v>
      </c>
      <c r="J594" s="6">
        <v>1.93</v>
      </c>
      <c r="K594" s="6" t="s">
        <v>44</v>
      </c>
      <c r="L594" s="6" t="s">
        <v>61</v>
      </c>
      <c r="M594" s="6">
        <f t="shared" si="1"/>
        <v>1515.92</v>
      </c>
      <c r="N594" s="6">
        <f t="shared" si="2"/>
        <v>2580.584559</v>
      </c>
      <c r="O594" s="6">
        <f t="shared" si="3"/>
        <v>1064.664559</v>
      </c>
      <c r="P594" s="7">
        <f t="shared" si="4"/>
        <v>0.4125672051</v>
      </c>
      <c r="Q594" s="6" t="s">
        <v>26</v>
      </c>
      <c r="R594" s="8">
        <f t="shared" si="5"/>
        <v>50.785441</v>
      </c>
    </row>
    <row r="595" ht="14.25" customHeight="1">
      <c r="A595" s="6" t="s">
        <v>1607</v>
      </c>
      <c r="B595" s="6" t="s">
        <v>1515</v>
      </c>
      <c r="C595" s="6" t="s">
        <v>1608</v>
      </c>
      <c r="D595" s="6" t="s">
        <v>30</v>
      </c>
      <c r="E595" s="6" t="s">
        <v>104</v>
      </c>
      <c r="F595" s="6" t="s">
        <v>105</v>
      </c>
      <c r="G595" s="6">
        <v>8.0</v>
      </c>
      <c r="H595" s="6">
        <v>349.21</v>
      </c>
      <c r="I595" s="6">
        <v>476.07</v>
      </c>
      <c r="J595" s="6">
        <v>3.72</v>
      </c>
      <c r="K595" s="6" t="s">
        <v>24</v>
      </c>
      <c r="L595" s="6" t="s">
        <v>61</v>
      </c>
      <c r="M595" s="6">
        <f t="shared" si="1"/>
        <v>2793.68</v>
      </c>
      <c r="N595" s="6">
        <f t="shared" si="2"/>
        <v>3666.881568</v>
      </c>
      <c r="O595" s="6">
        <f t="shared" si="3"/>
        <v>873.201568</v>
      </c>
      <c r="P595" s="7">
        <f t="shared" si="4"/>
        <v>0.2381319254</v>
      </c>
      <c r="Q595" s="6" t="s">
        <v>76</v>
      </c>
      <c r="R595" s="8">
        <f t="shared" si="5"/>
        <v>141.678432</v>
      </c>
    </row>
    <row r="596" ht="14.25" customHeight="1">
      <c r="A596" s="6" t="s">
        <v>1609</v>
      </c>
      <c r="B596" s="6" t="s">
        <v>382</v>
      </c>
      <c r="C596" s="6" t="s">
        <v>1610</v>
      </c>
      <c r="D596" s="6" t="s">
        <v>70</v>
      </c>
      <c r="E596" s="6" t="s">
        <v>65</v>
      </c>
      <c r="F596" s="6" t="s">
        <v>66</v>
      </c>
      <c r="G596" s="6">
        <v>1.0</v>
      </c>
      <c r="H596" s="6">
        <v>329.98</v>
      </c>
      <c r="I596" s="6">
        <v>409.56</v>
      </c>
      <c r="J596" s="6">
        <v>24.24</v>
      </c>
      <c r="K596" s="6" t="s">
        <v>24</v>
      </c>
      <c r="L596" s="6" t="s">
        <v>33</v>
      </c>
      <c r="M596" s="6">
        <f t="shared" si="1"/>
        <v>329.98</v>
      </c>
      <c r="N596" s="6">
        <f t="shared" si="2"/>
        <v>310.282656</v>
      </c>
      <c r="O596" s="6">
        <f t="shared" si="3"/>
        <v>-19.697344</v>
      </c>
      <c r="P596" s="7">
        <f t="shared" si="4"/>
        <v>-0.06348193693</v>
      </c>
      <c r="Q596" s="6" t="s">
        <v>26</v>
      </c>
      <c r="R596" s="8">
        <f t="shared" si="5"/>
        <v>99.277344</v>
      </c>
    </row>
    <row r="597" ht="14.25" customHeight="1">
      <c r="A597" s="6" t="s">
        <v>1611</v>
      </c>
      <c r="B597" s="6" t="s">
        <v>278</v>
      </c>
      <c r="C597" s="6" t="s">
        <v>1612</v>
      </c>
      <c r="D597" s="6" t="s">
        <v>64</v>
      </c>
      <c r="E597" s="6" t="s">
        <v>22</v>
      </c>
      <c r="F597" s="6" t="s">
        <v>23</v>
      </c>
      <c r="G597" s="6">
        <v>2.0</v>
      </c>
      <c r="H597" s="6">
        <v>314.79</v>
      </c>
      <c r="I597" s="6">
        <v>597.56</v>
      </c>
      <c r="J597" s="6">
        <v>2.63</v>
      </c>
      <c r="K597" s="6" t="s">
        <v>24</v>
      </c>
      <c r="L597" s="6" t="s">
        <v>33</v>
      </c>
      <c r="M597" s="6">
        <f t="shared" si="1"/>
        <v>629.58</v>
      </c>
      <c r="N597" s="6">
        <f t="shared" si="2"/>
        <v>1163.688344</v>
      </c>
      <c r="O597" s="6">
        <f t="shared" si="3"/>
        <v>534.108344</v>
      </c>
      <c r="P597" s="7">
        <f t="shared" si="4"/>
        <v>0.4589788553</v>
      </c>
      <c r="Q597" s="6" t="s">
        <v>40</v>
      </c>
      <c r="R597" s="8">
        <f t="shared" si="5"/>
        <v>31.431656</v>
      </c>
    </row>
    <row r="598" ht="14.25" customHeight="1">
      <c r="A598" s="6" t="s">
        <v>1613</v>
      </c>
      <c r="B598" s="6" t="s">
        <v>594</v>
      </c>
      <c r="C598" s="6" t="s">
        <v>1614</v>
      </c>
      <c r="D598" s="6" t="s">
        <v>64</v>
      </c>
      <c r="E598" s="6" t="s">
        <v>38</v>
      </c>
      <c r="F598" s="6" t="s">
        <v>71</v>
      </c>
      <c r="G598" s="6">
        <v>2.0</v>
      </c>
      <c r="H598" s="6">
        <v>229.76</v>
      </c>
      <c r="I598" s="6">
        <v>306.14</v>
      </c>
      <c r="J598" s="6">
        <v>4.01</v>
      </c>
      <c r="K598" s="6" t="s">
        <v>24</v>
      </c>
      <c r="L598" s="6" t="s">
        <v>33</v>
      </c>
      <c r="M598" s="6">
        <f t="shared" si="1"/>
        <v>459.52</v>
      </c>
      <c r="N598" s="6">
        <f t="shared" si="2"/>
        <v>587.727572</v>
      </c>
      <c r="O598" s="6">
        <f t="shared" si="3"/>
        <v>128.207572</v>
      </c>
      <c r="P598" s="7">
        <f t="shared" si="4"/>
        <v>0.2181411561</v>
      </c>
      <c r="Q598" s="6" t="s">
        <v>40</v>
      </c>
      <c r="R598" s="8">
        <f t="shared" si="5"/>
        <v>24.552428</v>
      </c>
    </row>
    <row r="599" ht="14.25" customHeight="1">
      <c r="A599" s="6" t="s">
        <v>1615</v>
      </c>
      <c r="B599" s="6" t="s">
        <v>1616</v>
      </c>
      <c r="C599" s="6" t="s">
        <v>1617</v>
      </c>
      <c r="D599" s="6" t="s">
        <v>21</v>
      </c>
      <c r="E599" s="6" t="s">
        <v>104</v>
      </c>
      <c r="F599" s="6" t="s">
        <v>105</v>
      </c>
      <c r="G599" s="6">
        <v>4.0</v>
      </c>
      <c r="H599" s="6">
        <v>286.71</v>
      </c>
      <c r="I599" s="6">
        <v>530.77</v>
      </c>
      <c r="J599" s="6">
        <v>5.42</v>
      </c>
      <c r="K599" s="6" t="s">
        <v>44</v>
      </c>
      <c r="L599" s="6" t="s">
        <v>25</v>
      </c>
      <c r="M599" s="6">
        <f t="shared" si="1"/>
        <v>1146.84</v>
      </c>
      <c r="N599" s="6">
        <f t="shared" si="2"/>
        <v>2008.009064</v>
      </c>
      <c r="O599" s="6">
        <f t="shared" si="3"/>
        <v>861.169064</v>
      </c>
      <c r="P599" s="7">
        <f t="shared" si="4"/>
        <v>0.4288671199</v>
      </c>
      <c r="Q599" s="6" t="s">
        <v>76</v>
      </c>
      <c r="R599" s="8">
        <f t="shared" si="5"/>
        <v>115.070936</v>
      </c>
    </row>
    <row r="600" ht="14.25" customHeight="1">
      <c r="A600" s="6" t="s">
        <v>1618</v>
      </c>
      <c r="B600" s="6" t="s">
        <v>1619</v>
      </c>
      <c r="C600" s="6" t="s">
        <v>1620</v>
      </c>
      <c r="D600" s="6" t="s">
        <v>21</v>
      </c>
      <c r="E600" s="6" t="s">
        <v>104</v>
      </c>
      <c r="F600" s="6" t="s">
        <v>105</v>
      </c>
      <c r="G600" s="6">
        <v>5.0</v>
      </c>
      <c r="H600" s="6">
        <v>379.18</v>
      </c>
      <c r="I600" s="6">
        <v>509.72</v>
      </c>
      <c r="J600" s="6">
        <v>1.01</v>
      </c>
      <c r="K600" s="6" t="s">
        <v>44</v>
      </c>
      <c r="L600" s="6" t="s">
        <v>33</v>
      </c>
      <c r="M600" s="6">
        <f t="shared" si="1"/>
        <v>1895.9</v>
      </c>
      <c r="N600" s="6">
        <f t="shared" si="2"/>
        <v>2522.85914</v>
      </c>
      <c r="O600" s="6">
        <f t="shared" si="3"/>
        <v>626.95914</v>
      </c>
      <c r="P600" s="7">
        <f t="shared" si="4"/>
        <v>0.2485113537</v>
      </c>
      <c r="Q600" s="6" t="s">
        <v>40</v>
      </c>
      <c r="R600" s="8">
        <f t="shared" si="5"/>
        <v>25.74086</v>
      </c>
    </row>
    <row r="601" ht="14.25" customHeight="1">
      <c r="A601" s="6" t="s">
        <v>1621</v>
      </c>
      <c r="B601" s="6" t="s">
        <v>1622</v>
      </c>
      <c r="C601" s="6" t="s">
        <v>1623</v>
      </c>
      <c r="D601" s="6" t="s">
        <v>48</v>
      </c>
      <c r="E601" s="6" t="s">
        <v>53</v>
      </c>
      <c r="F601" s="6" t="s">
        <v>54</v>
      </c>
      <c r="G601" s="6">
        <v>3.0</v>
      </c>
      <c r="H601" s="6">
        <v>307.84</v>
      </c>
      <c r="I601" s="6">
        <v>451.46</v>
      </c>
      <c r="J601" s="6">
        <v>6.19</v>
      </c>
      <c r="K601" s="6" t="s">
        <v>44</v>
      </c>
      <c r="L601" s="6" t="s">
        <v>55</v>
      </c>
      <c r="M601" s="6">
        <f t="shared" si="1"/>
        <v>923.52</v>
      </c>
      <c r="N601" s="6">
        <f t="shared" si="2"/>
        <v>1270.543878</v>
      </c>
      <c r="O601" s="6">
        <f t="shared" si="3"/>
        <v>347.023878</v>
      </c>
      <c r="P601" s="7">
        <f t="shared" si="4"/>
        <v>0.2731301799</v>
      </c>
      <c r="Q601" s="6" t="s">
        <v>34</v>
      </c>
      <c r="R601" s="8">
        <f t="shared" si="5"/>
        <v>83.836122</v>
      </c>
    </row>
    <row r="602" ht="14.25" customHeight="1">
      <c r="A602" s="6" t="s">
        <v>1624</v>
      </c>
      <c r="B602" s="6" t="s">
        <v>234</v>
      </c>
      <c r="C602" s="6" t="s">
        <v>1625</v>
      </c>
      <c r="D602" s="6" t="s">
        <v>70</v>
      </c>
      <c r="E602" s="6" t="s">
        <v>31</v>
      </c>
      <c r="F602" s="6" t="s">
        <v>32</v>
      </c>
      <c r="G602" s="6">
        <v>5.0</v>
      </c>
      <c r="H602" s="6">
        <v>190.1</v>
      </c>
      <c r="I602" s="6">
        <v>256.05</v>
      </c>
      <c r="J602" s="6">
        <v>16.25</v>
      </c>
      <c r="K602" s="6" t="s">
        <v>24</v>
      </c>
      <c r="L602" s="6" t="s">
        <v>55</v>
      </c>
      <c r="M602" s="6">
        <f t="shared" si="1"/>
        <v>950.5</v>
      </c>
      <c r="N602" s="6">
        <f t="shared" si="2"/>
        <v>1072.209375</v>
      </c>
      <c r="O602" s="6">
        <f t="shared" si="3"/>
        <v>121.709375</v>
      </c>
      <c r="P602" s="7">
        <f t="shared" si="4"/>
        <v>0.1135126943</v>
      </c>
      <c r="Q602" s="6" t="s">
        <v>34</v>
      </c>
      <c r="R602" s="8">
        <f t="shared" si="5"/>
        <v>208.040625</v>
      </c>
    </row>
    <row r="603" ht="14.25" customHeight="1">
      <c r="A603" s="6" t="s">
        <v>1626</v>
      </c>
      <c r="B603" s="6" t="s">
        <v>712</v>
      </c>
      <c r="C603" s="6" t="s">
        <v>1627</v>
      </c>
      <c r="D603" s="6" t="s">
        <v>83</v>
      </c>
      <c r="E603" s="6" t="s">
        <v>38</v>
      </c>
      <c r="F603" s="6" t="s">
        <v>71</v>
      </c>
      <c r="G603" s="6">
        <v>2.0</v>
      </c>
      <c r="H603" s="6">
        <v>184.75</v>
      </c>
      <c r="I603" s="6">
        <v>267.32</v>
      </c>
      <c r="J603" s="6">
        <v>8.34</v>
      </c>
      <c r="K603" s="6" t="s">
        <v>24</v>
      </c>
      <c r="L603" s="6" t="s">
        <v>55</v>
      </c>
      <c r="M603" s="6">
        <f t="shared" si="1"/>
        <v>369.5</v>
      </c>
      <c r="N603" s="6">
        <f t="shared" si="2"/>
        <v>490.051024</v>
      </c>
      <c r="O603" s="6">
        <f t="shared" si="3"/>
        <v>120.551024</v>
      </c>
      <c r="P603" s="7">
        <f t="shared" si="4"/>
        <v>0.2459968822</v>
      </c>
      <c r="Q603" s="6" t="s">
        <v>76</v>
      </c>
      <c r="R603" s="8">
        <f t="shared" si="5"/>
        <v>44.588976</v>
      </c>
    </row>
    <row r="604" ht="14.25" customHeight="1">
      <c r="A604" s="6" t="s">
        <v>1628</v>
      </c>
      <c r="B604" s="6" t="s">
        <v>1629</v>
      </c>
      <c r="C604" s="6" t="s">
        <v>1630</v>
      </c>
      <c r="D604" s="6" t="s">
        <v>83</v>
      </c>
      <c r="E604" s="6" t="s">
        <v>38</v>
      </c>
      <c r="F604" s="6" t="s">
        <v>39</v>
      </c>
      <c r="G604" s="6">
        <v>7.0</v>
      </c>
      <c r="H604" s="6">
        <v>250.59</v>
      </c>
      <c r="I604" s="6">
        <v>416.98</v>
      </c>
      <c r="J604" s="6">
        <v>0.59</v>
      </c>
      <c r="K604" s="6" t="s">
        <v>44</v>
      </c>
      <c r="L604" s="6" t="s">
        <v>33</v>
      </c>
      <c r="M604" s="6">
        <f t="shared" si="1"/>
        <v>1754.13</v>
      </c>
      <c r="N604" s="6">
        <f t="shared" si="2"/>
        <v>2901.638726</v>
      </c>
      <c r="O604" s="6">
        <f t="shared" si="3"/>
        <v>1147.508726</v>
      </c>
      <c r="P604" s="7">
        <f t="shared" si="4"/>
        <v>0.3954691932</v>
      </c>
      <c r="Q604" s="6" t="s">
        <v>26</v>
      </c>
      <c r="R604" s="8">
        <f t="shared" si="5"/>
        <v>17.221274</v>
      </c>
    </row>
    <row r="605" ht="14.25" customHeight="1">
      <c r="A605" s="6" t="s">
        <v>1631</v>
      </c>
      <c r="B605" s="6" t="s">
        <v>1602</v>
      </c>
      <c r="C605" s="6" t="s">
        <v>1632</v>
      </c>
      <c r="D605" s="6" t="s">
        <v>64</v>
      </c>
      <c r="E605" s="6" t="s">
        <v>38</v>
      </c>
      <c r="F605" s="6" t="s">
        <v>39</v>
      </c>
      <c r="G605" s="6">
        <v>8.0</v>
      </c>
      <c r="H605" s="6">
        <v>258.29</v>
      </c>
      <c r="I605" s="6">
        <v>316.1</v>
      </c>
      <c r="J605" s="6">
        <v>14.35</v>
      </c>
      <c r="K605" s="6" t="s">
        <v>24</v>
      </c>
      <c r="L605" s="6" t="s">
        <v>55</v>
      </c>
      <c r="M605" s="6">
        <f t="shared" si="1"/>
        <v>2066.32</v>
      </c>
      <c r="N605" s="6">
        <f t="shared" si="2"/>
        <v>2165.9172</v>
      </c>
      <c r="O605" s="6">
        <f t="shared" si="3"/>
        <v>99.5972</v>
      </c>
      <c r="P605" s="7">
        <f t="shared" si="4"/>
        <v>0.04598384463</v>
      </c>
      <c r="Q605" s="6" t="s">
        <v>40</v>
      </c>
      <c r="R605" s="8">
        <f t="shared" si="5"/>
        <v>362.8828</v>
      </c>
    </row>
    <row r="606" ht="14.25" customHeight="1">
      <c r="A606" s="6" t="s">
        <v>1633</v>
      </c>
      <c r="B606" s="6" t="s">
        <v>1108</v>
      </c>
      <c r="C606" s="6" t="s">
        <v>1634</v>
      </c>
      <c r="D606" s="6" t="s">
        <v>30</v>
      </c>
      <c r="E606" s="6" t="s">
        <v>59</v>
      </c>
      <c r="F606" s="6" t="s">
        <v>60</v>
      </c>
      <c r="G606" s="6">
        <v>2.0</v>
      </c>
      <c r="H606" s="6">
        <v>259.4</v>
      </c>
      <c r="I606" s="6">
        <v>468.38</v>
      </c>
      <c r="J606" s="6">
        <v>11.48</v>
      </c>
      <c r="K606" s="6" t="s">
        <v>44</v>
      </c>
      <c r="L606" s="6" t="s">
        <v>25</v>
      </c>
      <c r="M606" s="6">
        <f t="shared" si="1"/>
        <v>518.8</v>
      </c>
      <c r="N606" s="6">
        <f t="shared" si="2"/>
        <v>829.219952</v>
      </c>
      <c r="O606" s="6">
        <f t="shared" si="3"/>
        <v>310.419952</v>
      </c>
      <c r="P606" s="7">
        <f t="shared" si="4"/>
        <v>0.3743517643</v>
      </c>
      <c r="Q606" s="6" t="s">
        <v>49</v>
      </c>
      <c r="R606" s="8">
        <f t="shared" si="5"/>
        <v>107.540048</v>
      </c>
    </row>
    <row r="607" ht="14.25" customHeight="1">
      <c r="A607" s="6" t="s">
        <v>1635</v>
      </c>
      <c r="B607" s="6" t="s">
        <v>1144</v>
      </c>
      <c r="C607" s="6" t="s">
        <v>1636</v>
      </c>
      <c r="D607" s="6" t="s">
        <v>83</v>
      </c>
      <c r="E607" s="6" t="s">
        <v>65</v>
      </c>
      <c r="F607" s="6" t="s">
        <v>75</v>
      </c>
      <c r="G607" s="6">
        <v>5.0</v>
      </c>
      <c r="H607" s="6">
        <v>210.68</v>
      </c>
      <c r="I607" s="6">
        <v>343.48</v>
      </c>
      <c r="J607" s="6">
        <v>0.15</v>
      </c>
      <c r="K607" s="6" t="s">
        <v>24</v>
      </c>
      <c r="L607" s="6" t="s">
        <v>25</v>
      </c>
      <c r="M607" s="6">
        <f t="shared" si="1"/>
        <v>1053.4</v>
      </c>
      <c r="N607" s="6">
        <f t="shared" si="2"/>
        <v>1714.8239</v>
      </c>
      <c r="O607" s="6">
        <f t="shared" si="3"/>
        <v>661.4239</v>
      </c>
      <c r="P607" s="7">
        <f t="shared" si="4"/>
        <v>0.385709518</v>
      </c>
      <c r="Q607" s="6" t="s">
        <v>76</v>
      </c>
      <c r="R607" s="8">
        <f t="shared" si="5"/>
        <v>2.5761</v>
      </c>
    </row>
    <row r="608" ht="14.25" customHeight="1">
      <c r="A608" s="6" t="s">
        <v>1637</v>
      </c>
      <c r="B608" s="6" t="s">
        <v>1638</v>
      </c>
      <c r="C608" s="6" t="s">
        <v>1639</v>
      </c>
      <c r="D608" s="6" t="s">
        <v>30</v>
      </c>
      <c r="E608" s="6" t="s">
        <v>87</v>
      </c>
      <c r="F608" s="6" t="s">
        <v>88</v>
      </c>
      <c r="G608" s="6">
        <v>2.0</v>
      </c>
      <c r="H608" s="6">
        <v>345.63</v>
      </c>
      <c r="I608" s="6">
        <v>577.36</v>
      </c>
      <c r="J608" s="6">
        <v>1.91</v>
      </c>
      <c r="K608" s="6" t="s">
        <v>24</v>
      </c>
      <c r="L608" s="6" t="s">
        <v>25</v>
      </c>
      <c r="M608" s="6">
        <f t="shared" si="1"/>
        <v>691.26</v>
      </c>
      <c r="N608" s="6">
        <f t="shared" si="2"/>
        <v>1132.664848</v>
      </c>
      <c r="O608" s="6">
        <f t="shared" si="3"/>
        <v>441.404848</v>
      </c>
      <c r="P608" s="7">
        <f t="shared" si="4"/>
        <v>0.3897047293</v>
      </c>
      <c r="Q608" s="6" t="s">
        <v>49</v>
      </c>
      <c r="R608" s="8">
        <f t="shared" si="5"/>
        <v>22.055152</v>
      </c>
    </row>
    <row r="609" ht="14.25" customHeight="1">
      <c r="A609" s="6" t="s">
        <v>1640</v>
      </c>
      <c r="B609" s="6" t="s">
        <v>1536</v>
      </c>
      <c r="C609" s="6" t="s">
        <v>1641</v>
      </c>
      <c r="D609" s="6" t="s">
        <v>30</v>
      </c>
      <c r="E609" s="6" t="s">
        <v>31</v>
      </c>
      <c r="F609" s="6" t="s">
        <v>32</v>
      </c>
      <c r="G609" s="6">
        <v>3.0</v>
      </c>
      <c r="H609" s="6">
        <v>253.27</v>
      </c>
      <c r="I609" s="6">
        <v>422.6</v>
      </c>
      <c r="J609" s="6">
        <v>16.6</v>
      </c>
      <c r="K609" s="6" t="s">
        <v>44</v>
      </c>
      <c r="L609" s="6" t="s">
        <v>55</v>
      </c>
      <c r="M609" s="6">
        <f t="shared" si="1"/>
        <v>759.81</v>
      </c>
      <c r="N609" s="6">
        <f t="shared" si="2"/>
        <v>1057.3452</v>
      </c>
      <c r="O609" s="6">
        <f t="shared" si="3"/>
        <v>297.5352</v>
      </c>
      <c r="P609" s="7">
        <f t="shared" si="4"/>
        <v>0.281398355</v>
      </c>
      <c r="Q609" s="6" t="s">
        <v>76</v>
      </c>
      <c r="R609" s="8">
        <f t="shared" si="5"/>
        <v>210.4548</v>
      </c>
    </row>
    <row r="610" ht="14.25" customHeight="1">
      <c r="A610" s="6" t="s">
        <v>1642</v>
      </c>
      <c r="B610" s="6" t="s">
        <v>1643</v>
      </c>
      <c r="C610" s="6" t="s">
        <v>1644</v>
      </c>
      <c r="D610" s="6" t="s">
        <v>30</v>
      </c>
      <c r="E610" s="6" t="s">
        <v>65</v>
      </c>
      <c r="F610" s="6" t="s">
        <v>75</v>
      </c>
      <c r="G610" s="6">
        <v>2.0</v>
      </c>
      <c r="H610" s="6">
        <v>84.19</v>
      </c>
      <c r="I610" s="6">
        <v>134.29</v>
      </c>
      <c r="J610" s="6">
        <v>19.47</v>
      </c>
      <c r="K610" s="6" t="s">
        <v>44</v>
      </c>
      <c r="L610" s="6" t="s">
        <v>55</v>
      </c>
      <c r="M610" s="6">
        <f t="shared" si="1"/>
        <v>168.38</v>
      </c>
      <c r="N610" s="6">
        <f t="shared" si="2"/>
        <v>216.287474</v>
      </c>
      <c r="O610" s="6">
        <f t="shared" si="3"/>
        <v>47.907474</v>
      </c>
      <c r="P610" s="7">
        <f t="shared" si="4"/>
        <v>0.2214990684</v>
      </c>
      <c r="Q610" s="6" t="s">
        <v>76</v>
      </c>
      <c r="R610" s="8">
        <f t="shared" si="5"/>
        <v>52.292526</v>
      </c>
    </row>
    <row r="611" ht="14.25" customHeight="1">
      <c r="A611" s="6" t="s">
        <v>1645</v>
      </c>
      <c r="B611" s="6" t="s">
        <v>1487</v>
      </c>
      <c r="C611" s="6" t="s">
        <v>1646</v>
      </c>
      <c r="D611" s="6" t="s">
        <v>30</v>
      </c>
      <c r="E611" s="6" t="s">
        <v>59</v>
      </c>
      <c r="F611" s="6" t="s">
        <v>60</v>
      </c>
      <c r="G611" s="6">
        <v>6.0</v>
      </c>
      <c r="H611" s="6">
        <v>181.54</v>
      </c>
      <c r="I611" s="6">
        <v>263.15</v>
      </c>
      <c r="J611" s="6">
        <v>13.08</v>
      </c>
      <c r="K611" s="6" t="s">
        <v>44</v>
      </c>
      <c r="L611" s="6" t="s">
        <v>61</v>
      </c>
      <c r="M611" s="6">
        <f t="shared" si="1"/>
        <v>1089.24</v>
      </c>
      <c r="N611" s="6">
        <f t="shared" si="2"/>
        <v>1372.37988</v>
      </c>
      <c r="O611" s="6">
        <f t="shared" si="3"/>
        <v>283.13988</v>
      </c>
      <c r="P611" s="7">
        <f t="shared" si="4"/>
        <v>0.2063130509</v>
      </c>
      <c r="Q611" s="6" t="s">
        <v>34</v>
      </c>
      <c r="R611" s="8">
        <f t="shared" si="5"/>
        <v>206.52012</v>
      </c>
    </row>
    <row r="612" ht="14.25" customHeight="1">
      <c r="A612" s="6" t="s">
        <v>1647</v>
      </c>
      <c r="B612" s="6" t="s">
        <v>1648</v>
      </c>
      <c r="C612" s="6" t="s">
        <v>1649</v>
      </c>
      <c r="D612" s="6" t="s">
        <v>30</v>
      </c>
      <c r="E612" s="6" t="s">
        <v>38</v>
      </c>
      <c r="F612" s="6" t="s">
        <v>39</v>
      </c>
      <c r="G612" s="6">
        <v>3.0</v>
      </c>
      <c r="H612" s="6">
        <v>274.27</v>
      </c>
      <c r="I612" s="6">
        <v>443.03</v>
      </c>
      <c r="J612" s="6">
        <v>3.89</v>
      </c>
      <c r="K612" s="6" t="s">
        <v>44</v>
      </c>
      <c r="L612" s="6" t="s">
        <v>61</v>
      </c>
      <c r="M612" s="6">
        <f t="shared" si="1"/>
        <v>822.81</v>
      </c>
      <c r="N612" s="6">
        <f t="shared" si="2"/>
        <v>1277.388399</v>
      </c>
      <c r="O612" s="6">
        <f t="shared" si="3"/>
        <v>454.578399</v>
      </c>
      <c r="P612" s="7">
        <f t="shared" si="4"/>
        <v>0.3558654512</v>
      </c>
      <c r="Q612" s="6" t="s">
        <v>49</v>
      </c>
      <c r="R612" s="8">
        <f t="shared" si="5"/>
        <v>51.701601</v>
      </c>
    </row>
    <row r="613" ht="14.25" customHeight="1">
      <c r="A613" s="6" t="s">
        <v>1650</v>
      </c>
      <c r="B613" s="6" t="s">
        <v>633</v>
      </c>
      <c r="C613" s="6" t="s">
        <v>1651</v>
      </c>
      <c r="D613" s="6" t="s">
        <v>70</v>
      </c>
      <c r="E613" s="6" t="s">
        <v>31</v>
      </c>
      <c r="F613" s="6" t="s">
        <v>32</v>
      </c>
      <c r="G613" s="6">
        <v>4.0</v>
      </c>
      <c r="H613" s="6">
        <v>326.08</v>
      </c>
      <c r="I613" s="6">
        <v>461.84</v>
      </c>
      <c r="J613" s="6">
        <v>4.87</v>
      </c>
      <c r="K613" s="6" t="s">
        <v>44</v>
      </c>
      <c r="L613" s="6" t="s">
        <v>55</v>
      </c>
      <c r="M613" s="6">
        <f t="shared" si="1"/>
        <v>1304.32</v>
      </c>
      <c r="N613" s="6">
        <f t="shared" si="2"/>
        <v>1757.393568</v>
      </c>
      <c r="O613" s="6">
        <f t="shared" si="3"/>
        <v>453.073568</v>
      </c>
      <c r="P613" s="7">
        <f t="shared" si="4"/>
        <v>0.2578099614</v>
      </c>
      <c r="Q613" s="6" t="s">
        <v>26</v>
      </c>
      <c r="R613" s="8">
        <f t="shared" si="5"/>
        <v>89.966432</v>
      </c>
    </row>
    <row r="614" ht="14.25" customHeight="1">
      <c r="A614" s="6" t="s">
        <v>1652</v>
      </c>
      <c r="B614" s="6" t="s">
        <v>1086</v>
      </c>
      <c r="C614" s="6" t="s">
        <v>1653</v>
      </c>
      <c r="D614" s="6" t="s">
        <v>48</v>
      </c>
      <c r="E614" s="6" t="s">
        <v>38</v>
      </c>
      <c r="F614" s="6" t="s">
        <v>71</v>
      </c>
      <c r="G614" s="6">
        <v>1.0</v>
      </c>
      <c r="H614" s="6">
        <v>104.69</v>
      </c>
      <c r="I614" s="6">
        <v>162.2</v>
      </c>
      <c r="J614" s="6">
        <v>11.61</v>
      </c>
      <c r="K614" s="6" t="s">
        <v>44</v>
      </c>
      <c r="L614" s="6" t="s">
        <v>55</v>
      </c>
      <c r="M614" s="6">
        <f t="shared" si="1"/>
        <v>104.69</v>
      </c>
      <c r="N614" s="6">
        <f t="shared" si="2"/>
        <v>143.36858</v>
      </c>
      <c r="O614" s="6">
        <f t="shared" si="3"/>
        <v>38.67858</v>
      </c>
      <c r="P614" s="7">
        <f t="shared" si="4"/>
        <v>0.2697842163</v>
      </c>
      <c r="Q614" s="6" t="s">
        <v>40</v>
      </c>
      <c r="R614" s="8">
        <f t="shared" si="5"/>
        <v>18.83142</v>
      </c>
    </row>
    <row r="615" ht="14.25" customHeight="1">
      <c r="A615" s="6" t="s">
        <v>1654</v>
      </c>
      <c r="B615" s="6" t="s">
        <v>1141</v>
      </c>
      <c r="C615" s="6" t="s">
        <v>1655</v>
      </c>
      <c r="D615" s="6" t="s">
        <v>83</v>
      </c>
      <c r="E615" s="6" t="s">
        <v>38</v>
      </c>
      <c r="F615" s="6" t="s">
        <v>71</v>
      </c>
      <c r="G615" s="6">
        <v>4.0</v>
      </c>
      <c r="H615" s="6">
        <v>82.58</v>
      </c>
      <c r="I615" s="6">
        <v>142.76</v>
      </c>
      <c r="J615" s="6">
        <v>6.45</v>
      </c>
      <c r="K615" s="6" t="s">
        <v>44</v>
      </c>
      <c r="L615" s="6" t="s">
        <v>55</v>
      </c>
      <c r="M615" s="6">
        <f t="shared" si="1"/>
        <v>330.32</v>
      </c>
      <c r="N615" s="6">
        <f t="shared" si="2"/>
        <v>534.20792</v>
      </c>
      <c r="O615" s="6">
        <f t="shared" si="3"/>
        <v>203.88792</v>
      </c>
      <c r="P615" s="7">
        <f t="shared" si="4"/>
        <v>0.3816639783</v>
      </c>
      <c r="Q615" s="6" t="s">
        <v>76</v>
      </c>
      <c r="R615" s="8">
        <f t="shared" si="5"/>
        <v>36.83208</v>
      </c>
    </row>
    <row r="616" ht="14.25" customHeight="1">
      <c r="A616" s="6" t="s">
        <v>1656</v>
      </c>
      <c r="B616" s="6" t="s">
        <v>1487</v>
      </c>
      <c r="C616" s="6" t="s">
        <v>1657</v>
      </c>
      <c r="D616" s="6" t="s">
        <v>21</v>
      </c>
      <c r="E616" s="6" t="s">
        <v>87</v>
      </c>
      <c r="F616" s="6" t="s">
        <v>88</v>
      </c>
      <c r="G616" s="6">
        <v>4.0</v>
      </c>
      <c r="H616" s="6">
        <v>306.86</v>
      </c>
      <c r="I616" s="6">
        <v>364.93</v>
      </c>
      <c r="J616" s="6">
        <v>9.6</v>
      </c>
      <c r="K616" s="6" t="s">
        <v>24</v>
      </c>
      <c r="L616" s="6" t="s">
        <v>61</v>
      </c>
      <c r="M616" s="6">
        <f t="shared" si="1"/>
        <v>1227.44</v>
      </c>
      <c r="N616" s="6">
        <f t="shared" si="2"/>
        <v>1319.58688</v>
      </c>
      <c r="O616" s="6">
        <f t="shared" si="3"/>
        <v>92.14688</v>
      </c>
      <c r="P616" s="7">
        <f t="shared" si="4"/>
        <v>0.06983009713</v>
      </c>
      <c r="Q616" s="6" t="s">
        <v>26</v>
      </c>
      <c r="R616" s="8">
        <f t="shared" si="5"/>
        <v>140.13312</v>
      </c>
    </row>
    <row r="617" ht="14.25" customHeight="1">
      <c r="A617" s="6" t="s">
        <v>1658</v>
      </c>
      <c r="B617" s="6" t="s">
        <v>1659</v>
      </c>
      <c r="C617" s="6" t="s">
        <v>1660</v>
      </c>
      <c r="D617" s="6" t="s">
        <v>64</v>
      </c>
      <c r="E617" s="6" t="s">
        <v>65</v>
      </c>
      <c r="F617" s="6" t="s">
        <v>66</v>
      </c>
      <c r="G617" s="6">
        <v>3.0</v>
      </c>
      <c r="H617" s="6">
        <v>198.46</v>
      </c>
      <c r="I617" s="6">
        <v>305.74</v>
      </c>
      <c r="J617" s="6">
        <v>1.01</v>
      </c>
      <c r="K617" s="6" t="s">
        <v>44</v>
      </c>
      <c r="L617" s="6" t="s">
        <v>33</v>
      </c>
      <c r="M617" s="6">
        <f t="shared" si="1"/>
        <v>595.38</v>
      </c>
      <c r="N617" s="6">
        <f t="shared" si="2"/>
        <v>907.956078</v>
      </c>
      <c r="O617" s="6">
        <f t="shared" si="3"/>
        <v>312.576078</v>
      </c>
      <c r="P617" s="7">
        <f t="shared" si="4"/>
        <v>0.3442634347</v>
      </c>
      <c r="Q617" s="6" t="s">
        <v>34</v>
      </c>
      <c r="R617" s="8">
        <f t="shared" si="5"/>
        <v>9.263922</v>
      </c>
    </row>
    <row r="618" ht="14.25" customHeight="1">
      <c r="A618" s="6" t="s">
        <v>1661</v>
      </c>
      <c r="B618" s="6" t="s">
        <v>1662</v>
      </c>
      <c r="C618" s="6" t="s">
        <v>1663</v>
      </c>
      <c r="D618" s="6" t="s">
        <v>83</v>
      </c>
      <c r="E618" s="6" t="s">
        <v>65</v>
      </c>
      <c r="F618" s="6" t="s">
        <v>75</v>
      </c>
      <c r="G618" s="6">
        <v>3.0</v>
      </c>
      <c r="H618" s="6">
        <v>212.94</v>
      </c>
      <c r="I618" s="6">
        <v>365.25</v>
      </c>
      <c r="J618" s="6">
        <v>11.78</v>
      </c>
      <c r="K618" s="6" t="s">
        <v>44</v>
      </c>
      <c r="L618" s="6" t="s">
        <v>61</v>
      </c>
      <c r="M618" s="6">
        <f t="shared" si="1"/>
        <v>638.82</v>
      </c>
      <c r="N618" s="6">
        <f t="shared" si="2"/>
        <v>966.67065</v>
      </c>
      <c r="O618" s="6">
        <f t="shared" si="3"/>
        <v>327.85065</v>
      </c>
      <c r="P618" s="7">
        <f t="shared" si="4"/>
        <v>0.3391544473</v>
      </c>
      <c r="Q618" s="6" t="s">
        <v>34</v>
      </c>
      <c r="R618" s="8">
        <f t="shared" si="5"/>
        <v>129.07935</v>
      </c>
    </row>
    <row r="619" ht="14.25" customHeight="1">
      <c r="A619" s="6" t="s">
        <v>1664</v>
      </c>
      <c r="B619" s="6" t="s">
        <v>1665</v>
      </c>
      <c r="C619" s="6" t="s">
        <v>1666</v>
      </c>
      <c r="D619" s="6" t="s">
        <v>70</v>
      </c>
      <c r="E619" s="6" t="s">
        <v>22</v>
      </c>
      <c r="F619" s="6" t="s">
        <v>23</v>
      </c>
      <c r="G619" s="6">
        <v>3.0</v>
      </c>
      <c r="H619" s="6">
        <v>380.15</v>
      </c>
      <c r="I619" s="6">
        <v>578.02</v>
      </c>
      <c r="J619" s="6">
        <v>20.27</v>
      </c>
      <c r="K619" s="6" t="s">
        <v>44</v>
      </c>
      <c r="L619" s="6" t="s">
        <v>33</v>
      </c>
      <c r="M619" s="6">
        <f t="shared" si="1"/>
        <v>1140.45</v>
      </c>
      <c r="N619" s="6">
        <f t="shared" si="2"/>
        <v>1382.566038</v>
      </c>
      <c r="O619" s="6">
        <f t="shared" si="3"/>
        <v>242.116038</v>
      </c>
      <c r="P619" s="7">
        <f t="shared" si="4"/>
        <v>0.1751207764</v>
      </c>
      <c r="Q619" s="6" t="s">
        <v>49</v>
      </c>
      <c r="R619" s="8">
        <f t="shared" si="5"/>
        <v>351.493962</v>
      </c>
    </row>
    <row r="620" ht="14.25" customHeight="1">
      <c r="A620" s="6" t="s">
        <v>1667</v>
      </c>
      <c r="B620" s="6" t="s">
        <v>1210</v>
      </c>
      <c r="C620" s="6" t="s">
        <v>1668</v>
      </c>
      <c r="D620" s="6" t="s">
        <v>48</v>
      </c>
      <c r="E620" s="6" t="s">
        <v>104</v>
      </c>
      <c r="F620" s="6" t="s">
        <v>105</v>
      </c>
      <c r="G620" s="6">
        <v>5.0</v>
      </c>
      <c r="H620" s="6">
        <v>101.51</v>
      </c>
      <c r="I620" s="6">
        <v>165.62</v>
      </c>
      <c r="J620" s="6">
        <v>17.73</v>
      </c>
      <c r="K620" s="6" t="s">
        <v>24</v>
      </c>
      <c r="L620" s="6" t="s">
        <v>25</v>
      </c>
      <c r="M620" s="6">
        <f t="shared" si="1"/>
        <v>507.55</v>
      </c>
      <c r="N620" s="6">
        <f t="shared" si="2"/>
        <v>681.27787</v>
      </c>
      <c r="O620" s="6">
        <f t="shared" si="3"/>
        <v>173.72787</v>
      </c>
      <c r="P620" s="7">
        <f t="shared" si="4"/>
        <v>0.255002955</v>
      </c>
      <c r="Q620" s="6" t="s">
        <v>40</v>
      </c>
      <c r="R620" s="8">
        <f t="shared" si="5"/>
        <v>146.82213</v>
      </c>
    </row>
    <row r="621" ht="14.25" customHeight="1">
      <c r="A621" s="6" t="s">
        <v>1669</v>
      </c>
      <c r="B621" s="6" t="s">
        <v>1670</v>
      </c>
      <c r="C621" s="6" t="s">
        <v>1671</v>
      </c>
      <c r="D621" s="6" t="s">
        <v>64</v>
      </c>
      <c r="E621" s="6" t="s">
        <v>104</v>
      </c>
      <c r="F621" s="6" t="s">
        <v>105</v>
      </c>
      <c r="G621" s="6">
        <v>8.0</v>
      </c>
      <c r="H621" s="6">
        <v>169.55</v>
      </c>
      <c r="I621" s="6">
        <v>200.99</v>
      </c>
      <c r="J621" s="6">
        <v>19.71</v>
      </c>
      <c r="K621" s="6" t="s">
        <v>44</v>
      </c>
      <c r="L621" s="6" t="s">
        <v>25</v>
      </c>
      <c r="M621" s="6">
        <f t="shared" si="1"/>
        <v>1356.4</v>
      </c>
      <c r="N621" s="6">
        <f t="shared" si="2"/>
        <v>1290.998968</v>
      </c>
      <c r="O621" s="6">
        <f t="shared" si="3"/>
        <v>-65.401032</v>
      </c>
      <c r="P621" s="7">
        <f t="shared" si="4"/>
        <v>-0.05065924421</v>
      </c>
      <c r="Q621" s="6" t="s">
        <v>34</v>
      </c>
      <c r="R621" s="8">
        <f t="shared" si="5"/>
        <v>316.921032</v>
      </c>
    </row>
    <row r="622" ht="14.25" customHeight="1">
      <c r="A622" s="6" t="s">
        <v>1672</v>
      </c>
      <c r="B622" s="6" t="s">
        <v>1619</v>
      </c>
      <c r="C622" s="6" t="s">
        <v>1673</v>
      </c>
      <c r="D622" s="6" t="s">
        <v>83</v>
      </c>
      <c r="E622" s="6" t="s">
        <v>22</v>
      </c>
      <c r="F622" s="6" t="s">
        <v>23</v>
      </c>
      <c r="G622" s="6">
        <v>5.0</v>
      </c>
      <c r="H622" s="6">
        <v>318.34</v>
      </c>
      <c r="I622" s="6">
        <v>457.59</v>
      </c>
      <c r="J622" s="6">
        <v>14.57</v>
      </c>
      <c r="K622" s="6" t="s">
        <v>44</v>
      </c>
      <c r="L622" s="6" t="s">
        <v>33</v>
      </c>
      <c r="M622" s="6">
        <f t="shared" si="1"/>
        <v>1591.7</v>
      </c>
      <c r="N622" s="6">
        <f t="shared" si="2"/>
        <v>1954.595685</v>
      </c>
      <c r="O622" s="6">
        <f t="shared" si="3"/>
        <v>362.895685</v>
      </c>
      <c r="P622" s="7">
        <f t="shared" si="4"/>
        <v>0.1856627884</v>
      </c>
      <c r="Q622" s="6" t="s">
        <v>34</v>
      </c>
      <c r="R622" s="8">
        <f t="shared" si="5"/>
        <v>333.354315</v>
      </c>
    </row>
    <row r="623" ht="14.25" customHeight="1">
      <c r="A623" s="6" t="s">
        <v>1674</v>
      </c>
      <c r="B623" s="6" t="s">
        <v>1675</v>
      </c>
      <c r="C623" s="6" t="s">
        <v>1676</v>
      </c>
      <c r="D623" s="6" t="s">
        <v>64</v>
      </c>
      <c r="E623" s="6" t="s">
        <v>53</v>
      </c>
      <c r="F623" s="6" t="s">
        <v>54</v>
      </c>
      <c r="G623" s="6">
        <v>7.0</v>
      </c>
      <c r="H623" s="6">
        <v>275.62</v>
      </c>
      <c r="I623" s="6">
        <v>410.09</v>
      </c>
      <c r="J623" s="6">
        <v>2.28</v>
      </c>
      <c r="K623" s="6" t="s">
        <v>24</v>
      </c>
      <c r="L623" s="6" t="s">
        <v>55</v>
      </c>
      <c r="M623" s="6">
        <f t="shared" si="1"/>
        <v>1929.34</v>
      </c>
      <c r="N623" s="6">
        <f t="shared" si="2"/>
        <v>2805.179636</v>
      </c>
      <c r="O623" s="6">
        <f t="shared" si="3"/>
        <v>875.839636</v>
      </c>
      <c r="P623" s="7">
        <f t="shared" si="4"/>
        <v>0.3122222993</v>
      </c>
      <c r="Q623" s="6" t="s">
        <v>49</v>
      </c>
      <c r="R623" s="8">
        <f t="shared" si="5"/>
        <v>65.450364</v>
      </c>
    </row>
    <row r="624" ht="14.25" customHeight="1">
      <c r="A624" s="6" t="s">
        <v>1677</v>
      </c>
      <c r="B624" s="6" t="s">
        <v>594</v>
      </c>
      <c r="C624" s="6" t="s">
        <v>1678</v>
      </c>
      <c r="D624" s="6" t="s">
        <v>64</v>
      </c>
      <c r="E624" s="6" t="s">
        <v>104</v>
      </c>
      <c r="F624" s="6" t="s">
        <v>105</v>
      </c>
      <c r="G624" s="6">
        <v>1.0</v>
      </c>
      <c r="H624" s="6">
        <v>225.56</v>
      </c>
      <c r="I624" s="6">
        <v>364.93</v>
      </c>
      <c r="J624" s="6">
        <v>16.95</v>
      </c>
      <c r="K624" s="6" t="s">
        <v>24</v>
      </c>
      <c r="L624" s="6" t="s">
        <v>25</v>
      </c>
      <c r="M624" s="6">
        <f t="shared" si="1"/>
        <v>225.56</v>
      </c>
      <c r="N624" s="6">
        <f t="shared" si="2"/>
        <v>303.074365</v>
      </c>
      <c r="O624" s="6">
        <f t="shared" si="3"/>
        <v>77.514365</v>
      </c>
      <c r="P624" s="7">
        <f t="shared" si="4"/>
        <v>0.2557602158</v>
      </c>
      <c r="Q624" s="6" t="s">
        <v>26</v>
      </c>
      <c r="R624" s="8">
        <f t="shared" si="5"/>
        <v>61.855635</v>
      </c>
    </row>
    <row r="625" ht="14.25" customHeight="1">
      <c r="A625" s="6" t="s">
        <v>1679</v>
      </c>
      <c r="B625" s="6" t="s">
        <v>1680</v>
      </c>
      <c r="C625" s="6" t="s">
        <v>1681</v>
      </c>
      <c r="D625" s="6" t="s">
        <v>48</v>
      </c>
      <c r="E625" s="6" t="s">
        <v>104</v>
      </c>
      <c r="F625" s="6" t="s">
        <v>105</v>
      </c>
      <c r="G625" s="6">
        <v>4.0</v>
      </c>
      <c r="H625" s="6">
        <v>398.06</v>
      </c>
      <c r="I625" s="6">
        <v>476.73</v>
      </c>
      <c r="J625" s="6">
        <v>19.28</v>
      </c>
      <c r="K625" s="6" t="s">
        <v>24</v>
      </c>
      <c r="L625" s="6" t="s">
        <v>55</v>
      </c>
      <c r="M625" s="6">
        <f t="shared" si="1"/>
        <v>1592.24</v>
      </c>
      <c r="N625" s="6">
        <f t="shared" si="2"/>
        <v>1539.265824</v>
      </c>
      <c r="O625" s="6">
        <f t="shared" si="3"/>
        <v>-52.974176</v>
      </c>
      <c r="P625" s="7">
        <f t="shared" si="4"/>
        <v>-0.03441522262</v>
      </c>
      <c r="Q625" s="6" t="s">
        <v>49</v>
      </c>
      <c r="R625" s="8">
        <f t="shared" si="5"/>
        <v>367.654176</v>
      </c>
    </row>
    <row r="626" ht="14.25" customHeight="1">
      <c r="A626" s="6" t="s">
        <v>1682</v>
      </c>
      <c r="B626" s="6" t="s">
        <v>784</v>
      </c>
      <c r="C626" s="6" t="s">
        <v>1683</v>
      </c>
      <c r="D626" s="6" t="s">
        <v>64</v>
      </c>
      <c r="E626" s="6" t="s">
        <v>38</v>
      </c>
      <c r="F626" s="6" t="s">
        <v>71</v>
      </c>
      <c r="G626" s="6">
        <v>7.0</v>
      </c>
      <c r="H626" s="6">
        <v>196.9</v>
      </c>
      <c r="I626" s="6">
        <v>257.85</v>
      </c>
      <c r="J626" s="6">
        <v>4.11</v>
      </c>
      <c r="K626" s="6" t="s">
        <v>24</v>
      </c>
      <c r="L626" s="6" t="s">
        <v>61</v>
      </c>
      <c r="M626" s="6">
        <f t="shared" si="1"/>
        <v>1378.3</v>
      </c>
      <c r="N626" s="6">
        <f t="shared" si="2"/>
        <v>1730.766555</v>
      </c>
      <c r="O626" s="6">
        <f t="shared" si="3"/>
        <v>352.466555</v>
      </c>
      <c r="P626" s="7">
        <f t="shared" si="4"/>
        <v>0.2036476577</v>
      </c>
      <c r="Q626" s="6" t="s">
        <v>26</v>
      </c>
      <c r="R626" s="8">
        <f t="shared" si="5"/>
        <v>74.183445</v>
      </c>
    </row>
    <row r="627" ht="14.25" customHeight="1">
      <c r="A627" s="6" t="s">
        <v>1684</v>
      </c>
      <c r="B627" s="6" t="s">
        <v>1685</v>
      </c>
      <c r="C627" s="6" t="s">
        <v>1686</v>
      </c>
      <c r="D627" s="6" t="s">
        <v>70</v>
      </c>
      <c r="E627" s="6" t="s">
        <v>38</v>
      </c>
      <c r="F627" s="6" t="s">
        <v>71</v>
      </c>
      <c r="G627" s="6">
        <v>2.0</v>
      </c>
      <c r="H627" s="6">
        <v>202.11</v>
      </c>
      <c r="I627" s="6">
        <v>355.91</v>
      </c>
      <c r="J627" s="6">
        <v>19.41</v>
      </c>
      <c r="K627" s="6" t="s">
        <v>44</v>
      </c>
      <c r="L627" s="6" t="s">
        <v>33</v>
      </c>
      <c r="M627" s="6">
        <f t="shared" si="1"/>
        <v>404.22</v>
      </c>
      <c r="N627" s="6">
        <f t="shared" si="2"/>
        <v>573.655738</v>
      </c>
      <c r="O627" s="6">
        <f t="shared" si="3"/>
        <v>169.435738</v>
      </c>
      <c r="P627" s="7">
        <f t="shared" si="4"/>
        <v>0.2953613583</v>
      </c>
      <c r="Q627" s="6" t="s">
        <v>49</v>
      </c>
      <c r="R627" s="8">
        <f t="shared" si="5"/>
        <v>138.164262</v>
      </c>
    </row>
    <row r="628" ht="14.25" customHeight="1">
      <c r="A628" s="6" t="s">
        <v>1687</v>
      </c>
      <c r="B628" s="6" t="s">
        <v>90</v>
      </c>
      <c r="C628" s="6" t="s">
        <v>1688</v>
      </c>
      <c r="D628" s="6" t="s">
        <v>70</v>
      </c>
      <c r="E628" s="6" t="s">
        <v>31</v>
      </c>
      <c r="F628" s="6" t="s">
        <v>32</v>
      </c>
      <c r="G628" s="6">
        <v>5.0</v>
      </c>
      <c r="H628" s="6">
        <v>310.3</v>
      </c>
      <c r="I628" s="6">
        <v>390.89</v>
      </c>
      <c r="J628" s="6">
        <v>9.5</v>
      </c>
      <c r="K628" s="6" t="s">
        <v>44</v>
      </c>
      <c r="L628" s="6" t="s">
        <v>55</v>
      </c>
      <c r="M628" s="6">
        <f t="shared" si="1"/>
        <v>1551.5</v>
      </c>
      <c r="N628" s="6">
        <f t="shared" si="2"/>
        <v>1768.77725</v>
      </c>
      <c r="O628" s="6">
        <f t="shared" si="3"/>
        <v>217.27725</v>
      </c>
      <c r="P628" s="7">
        <f t="shared" si="4"/>
        <v>0.122840369</v>
      </c>
      <c r="Q628" s="6" t="s">
        <v>49</v>
      </c>
      <c r="R628" s="8">
        <f t="shared" si="5"/>
        <v>185.67275</v>
      </c>
    </row>
    <row r="629" ht="14.25" customHeight="1">
      <c r="A629" s="6" t="s">
        <v>1689</v>
      </c>
      <c r="B629" s="6" t="s">
        <v>96</v>
      </c>
      <c r="C629" s="6" t="s">
        <v>1690</v>
      </c>
      <c r="D629" s="6" t="s">
        <v>48</v>
      </c>
      <c r="E629" s="6" t="s">
        <v>22</v>
      </c>
      <c r="F629" s="6" t="s">
        <v>23</v>
      </c>
      <c r="G629" s="6">
        <v>8.0</v>
      </c>
      <c r="H629" s="6">
        <v>102.58</v>
      </c>
      <c r="I629" s="6">
        <v>152.72</v>
      </c>
      <c r="J629" s="6">
        <v>7.82</v>
      </c>
      <c r="K629" s="6" t="s">
        <v>44</v>
      </c>
      <c r="L629" s="6" t="s">
        <v>25</v>
      </c>
      <c r="M629" s="6">
        <f t="shared" si="1"/>
        <v>820.64</v>
      </c>
      <c r="N629" s="6">
        <f t="shared" si="2"/>
        <v>1126.218368</v>
      </c>
      <c r="O629" s="6">
        <f t="shared" si="3"/>
        <v>305.578368</v>
      </c>
      <c r="P629" s="7">
        <f t="shared" si="4"/>
        <v>0.2713313658</v>
      </c>
      <c r="Q629" s="6" t="s">
        <v>49</v>
      </c>
      <c r="R629" s="8">
        <f t="shared" si="5"/>
        <v>95.541632</v>
      </c>
    </row>
    <row r="630" ht="14.25" customHeight="1">
      <c r="A630" s="6" t="s">
        <v>1691</v>
      </c>
      <c r="B630" s="6" t="s">
        <v>1692</v>
      </c>
      <c r="C630" s="6" t="s">
        <v>1693</v>
      </c>
      <c r="D630" s="6" t="s">
        <v>83</v>
      </c>
      <c r="E630" s="6" t="s">
        <v>22</v>
      </c>
      <c r="F630" s="6" t="s">
        <v>23</v>
      </c>
      <c r="G630" s="6">
        <v>1.0</v>
      </c>
      <c r="H630" s="6">
        <v>190.85</v>
      </c>
      <c r="I630" s="6">
        <v>283.52</v>
      </c>
      <c r="J630" s="6">
        <v>24.27</v>
      </c>
      <c r="K630" s="6" t="s">
        <v>24</v>
      </c>
      <c r="L630" s="6" t="s">
        <v>25</v>
      </c>
      <c r="M630" s="6">
        <f t="shared" si="1"/>
        <v>190.85</v>
      </c>
      <c r="N630" s="6">
        <f t="shared" si="2"/>
        <v>214.709696</v>
      </c>
      <c r="O630" s="6">
        <f t="shared" si="3"/>
        <v>23.859696</v>
      </c>
      <c r="P630" s="7">
        <f t="shared" si="4"/>
        <v>0.1111253774</v>
      </c>
      <c r="Q630" s="6" t="s">
        <v>49</v>
      </c>
      <c r="R630" s="8">
        <f t="shared" si="5"/>
        <v>68.810304</v>
      </c>
    </row>
    <row r="631" ht="14.25" customHeight="1">
      <c r="A631" s="6" t="s">
        <v>1694</v>
      </c>
      <c r="B631" s="6" t="s">
        <v>1695</v>
      </c>
      <c r="C631" s="6" t="s">
        <v>1696</v>
      </c>
      <c r="D631" s="6" t="s">
        <v>30</v>
      </c>
      <c r="E631" s="6" t="s">
        <v>22</v>
      </c>
      <c r="F631" s="6" t="s">
        <v>23</v>
      </c>
      <c r="G631" s="6">
        <v>4.0</v>
      </c>
      <c r="H631" s="6">
        <v>107.41</v>
      </c>
      <c r="I631" s="6">
        <v>170.9</v>
      </c>
      <c r="J631" s="6">
        <v>3.33</v>
      </c>
      <c r="K631" s="6" t="s">
        <v>24</v>
      </c>
      <c r="L631" s="6" t="s">
        <v>61</v>
      </c>
      <c r="M631" s="6">
        <f t="shared" si="1"/>
        <v>429.64</v>
      </c>
      <c r="N631" s="6">
        <f t="shared" si="2"/>
        <v>660.83612</v>
      </c>
      <c r="O631" s="6">
        <f t="shared" si="3"/>
        <v>231.19612</v>
      </c>
      <c r="P631" s="7">
        <f t="shared" si="4"/>
        <v>0.3498539396</v>
      </c>
      <c r="Q631" s="6" t="s">
        <v>34</v>
      </c>
      <c r="R631" s="8">
        <f t="shared" si="5"/>
        <v>22.76388</v>
      </c>
    </row>
    <row r="632" ht="14.25" customHeight="1">
      <c r="A632" s="6" t="s">
        <v>1697</v>
      </c>
      <c r="B632" s="6" t="s">
        <v>1698</v>
      </c>
      <c r="C632" s="6" t="s">
        <v>1699</v>
      </c>
      <c r="D632" s="6" t="s">
        <v>30</v>
      </c>
      <c r="E632" s="6" t="s">
        <v>38</v>
      </c>
      <c r="F632" s="6" t="s">
        <v>39</v>
      </c>
      <c r="G632" s="6">
        <v>4.0</v>
      </c>
      <c r="H632" s="6">
        <v>234.27</v>
      </c>
      <c r="I632" s="6">
        <v>380.25</v>
      </c>
      <c r="J632" s="6">
        <v>22.9</v>
      </c>
      <c r="K632" s="6" t="s">
        <v>44</v>
      </c>
      <c r="L632" s="6" t="s">
        <v>55</v>
      </c>
      <c r="M632" s="6">
        <f t="shared" si="1"/>
        <v>937.08</v>
      </c>
      <c r="N632" s="6">
        <f t="shared" si="2"/>
        <v>1172.691</v>
      </c>
      <c r="O632" s="6">
        <f t="shared" si="3"/>
        <v>235.611</v>
      </c>
      <c r="P632" s="7">
        <f t="shared" si="4"/>
        <v>0.200914819</v>
      </c>
      <c r="Q632" s="6" t="s">
        <v>49</v>
      </c>
      <c r="R632" s="8">
        <f t="shared" si="5"/>
        <v>348.309</v>
      </c>
    </row>
    <row r="633" ht="14.25" customHeight="1">
      <c r="A633" s="6" t="s">
        <v>1700</v>
      </c>
      <c r="B633" s="6" t="s">
        <v>1701</v>
      </c>
      <c r="C633" s="6" t="s">
        <v>1702</v>
      </c>
      <c r="D633" s="6" t="s">
        <v>21</v>
      </c>
      <c r="E633" s="6" t="s">
        <v>65</v>
      </c>
      <c r="F633" s="6" t="s">
        <v>75</v>
      </c>
      <c r="G633" s="6">
        <v>7.0</v>
      </c>
      <c r="H633" s="6">
        <v>242.23</v>
      </c>
      <c r="I633" s="6">
        <v>396.6</v>
      </c>
      <c r="J633" s="6">
        <v>13.13</v>
      </c>
      <c r="K633" s="6" t="s">
        <v>24</v>
      </c>
      <c r="L633" s="6" t="s">
        <v>61</v>
      </c>
      <c r="M633" s="6">
        <f t="shared" si="1"/>
        <v>1695.61</v>
      </c>
      <c r="N633" s="6">
        <f t="shared" si="2"/>
        <v>2411.68494</v>
      </c>
      <c r="O633" s="6">
        <f t="shared" si="3"/>
        <v>716.07494</v>
      </c>
      <c r="P633" s="7">
        <f t="shared" si="4"/>
        <v>0.2969189417</v>
      </c>
      <c r="Q633" s="6" t="s">
        <v>34</v>
      </c>
      <c r="R633" s="8">
        <f t="shared" si="5"/>
        <v>364.51506</v>
      </c>
    </row>
    <row r="634" ht="14.25" customHeight="1">
      <c r="A634" s="6" t="s">
        <v>1703</v>
      </c>
      <c r="B634" s="6" t="s">
        <v>355</v>
      </c>
      <c r="C634" s="6" t="s">
        <v>1704</v>
      </c>
      <c r="D634" s="6" t="s">
        <v>48</v>
      </c>
      <c r="E634" s="6" t="s">
        <v>22</v>
      </c>
      <c r="F634" s="6" t="s">
        <v>23</v>
      </c>
      <c r="G634" s="6">
        <v>1.0</v>
      </c>
      <c r="H634" s="6">
        <v>88.45</v>
      </c>
      <c r="I634" s="6">
        <v>107.1</v>
      </c>
      <c r="J634" s="6">
        <v>11.77</v>
      </c>
      <c r="K634" s="6" t="s">
        <v>44</v>
      </c>
      <c r="L634" s="6" t="s">
        <v>25</v>
      </c>
      <c r="M634" s="6">
        <f t="shared" si="1"/>
        <v>88.45</v>
      </c>
      <c r="N634" s="6">
        <f t="shared" si="2"/>
        <v>94.49433</v>
      </c>
      <c r="O634" s="6">
        <f t="shared" si="3"/>
        <v>6.04433</v>
      </c>
      <c r="P634" s="7">
        <f t="shared" si="4"/>
        <v>0.06396500192</v>
      </c>
      <c r="Q634" s="6" t="s">
        <v>40</v>
      </c>
      <c r="R634" s="8">
        <f t="shared" si="5"/>
        <v>12.60567</v>
      </c>
    </row>
    <row r="635" ht="14.25" customHeight="1">
      <c r="A635" s="6" t="s">
        <v>1705</v>
      </c>
      <c r="B635" s="6" t="s">
        <v>1706</v>
      </c>
      <c r="C635" s="6" t="s">
        <v>1707</v>
      </c>
      <c r="D635" s="6" t="s">
        <v>64</v>
      </c>
      <c r="E635" s="6" t="s">
        <v>31</v>
      </c>
      <c r="F635" s="6" t="s">
        <v>32</v>
      </c>
      <c r="G635" s="6">
        <v>8.0</v>
      </c>
      <c r="H635" s="6">
        <v>142.4</v>
      </c>
      <c r="I635" s="6">
        <v>263.02</v>
      </c>
      <c r="J635" s="6">
        <v>13.76</v>
      </c>
      <c r="K635" s="6" t="s">
        <v>44</v>
      </c>
      <c r="L635" s="6" t="s">
        <v>33</v>
      </c>
      <c r="M635" s="6">
        <f t="shared" si="1"/>
        <v>1139.2</v>
      </c>
      <c r="N635" s="6">
        <f t="shared" si="2"/>
        <v>1814.627584</v>
      </c>
      <c r="O635" s="6">
        <f t="shared" si="3"/>
        <v>675.427584</v>
      </c>
      <c r="P635" s="7">
        <f t="shared" si="4"/>
        <v>0.3722127835</v>
      </c>
      <c r="Q635" s="6" t="s">
        <v>34</v>
      </c>
      <c r="R635" s="8">
        <f t="shared" si="5"/>
        <v>289.532416</v>
      </c>
    </row>
    <row r="636" ht="14.25" customHeight="1">
      <c r="A636" s="6" t="s">
        <v>1708</v>
      </c>
      <c r="B636" s="6" t="s">
        <v>1709</v>
      </c>
      <c r="C636" s="6" t="s">
        <v>1710</v>
      </c>
      <c r="D636" s="6" t="s">
        <v>83</v>
      </c>
      <c r="E636" s="6" t="s">
        <v>22</v>
      </c>
      <c r="F636" s="6" t="s">
        <v>23</v>
      </c>
      <c r="G636" s="6">
        <v>3.0</v>
      </c>
      <c r="H636" s="6">
        <v>147.18</v>
      </c>
      <c r="I636" s="6">
        <v>205.3</v>
      </c>
      <c r="J636" s="6">
        <v>6.31</v>
      </c>
      <c r="K636" s="6" t="s">
        <v>24</v>
      </c>
      <c r="L636" s="6" t="s">
        <v>25</v>
      </c>
      <c r="M636" s="6">
        <f t="shared" si="1"/>
        <v>441.54</v>
      </c>
      <c r="N636" s="6">
        <f t="shared" si="2"/>
        <v>577.03671</v>
      </c>
      <c r="O636" s="6">
        <f t="shared" si="3"/>
        <v>135.49671</v>
      </c>
      <c r="P636" s="7">
        <f t="shared" si="4"/>
        <v>0.234814714</v>
      </c>
      <c r="Q636" s="6" t="s">
        <v>40</v>
      </c>
      <c r="R636" s="8">
        <f t="shared" si="5"/>
        <v>38.86329</v>
      </c>
    </row>
    <row r="637" ht="14.25" customHeight="1">
      <c r="A637" s="6" t="s">
        <v>1711</v>
      </c>
      <c r="B637" s="6" t="s">
        <v>1712</v>
      </c>
      <c r="C637" s="6" t="s">
        <v>1713</v>
      </c>
      <c r="D637" s="6" t="s">
        <v>21</v>
      </c>
      <c r="E637" s="6" t="s">
        <v>65</v>
      </c>
      <c r="F637" s="6" t="s">
        <v>75</v>
      </c>
      <c r="G637" s="6">
        <v>6.0</v>
      </c>
      <c r="H637" s="6">
        <v>425.94</v>
      </c>
      <c r="I637" s="6">
        <v>592.34</v>
      </c>
      <c r="J637" s="6">
        <v>0.26</v>
      </c>
      <c r="K637" s="6" t="s">
        <v>24</v>
      </c>
      <c r="L637" s="6" t="s">
        <v>33</v>
      </c>
      <c r="M637" s="6">
        <f t="shared" si="1"/>
        <v>2555.64</v>
      </c>
      <c r="N637" s="6">
        <f t="shared" si="2"/>
        <v>3544.799496</v>
      </c>
      <c r="O637" s="6">
        <f t="shared" si="3"/>
        <v>989.159496</v>
      </c>
      <c r="P637" s="7">
        <f t="shared" si="4"/>
        <v>0.2790452597</v>
      </c>
      <c r="Q637" s="6" t="s">
        <v>40</v>
      </c>
      <c r="R637" s="8">
        <f t="shared" si="5"/>
        <v>9.240504</v>
      </c>
    </row>
    <row r="638" ht="14.25" customHeight="1">
      <c r="A638" s="6" t="s">
        <v>1714</v>
      </c>
      <c r="B638" s="6" t="s">
        <v>355</v>
      </c>
      <c r="C638" s="6" t="s">
        <v>1715</v>
      </c>
      <c r="D638" s="6" t="s">
        <v>64</v>
      </c>
      <c r="E638" s="6" t="s">
        <v>38</v>
      </c>
      <c r="F638" s="6" t="s">
        <v>39</v>
      </c>
      <c r="G638" s="6">
        <v>1.0</v>
      </c>
      <c r="H638" s="6">
        <v>382.96</v>
      </c>
      <c r="I638" s="6">
        <v>523.04</v>
      </c>
      <c r="J638" s="6">
        <v>4.26</v>
      </c>
      <c r="K638" s="6" t="s">
        <v>24</v>
      </c>
      <c r="L638" s="6" t="s">
        <v>25</v>
      </c>
      <c r="M638" s="6">
        <f t="shared" si="1"/>
        <v>382.96</v>
      </c>
      <c r="N638" s="6">
        <f t="shared" si="2"/>
        <v>500.758496</v>
      </c>
      <c r="O638" s="6">
        <f t="shared" si="3"/>
        <v>117.798496</v>
      </c>
      <c r="P638" s="7">
        <f t="shared" si="4"/>
        <v>0.2352401346</v>
      </c>
      <c r="Q638" s="6" t="s">
        <v>40</v>
      </c>
      <c r="R638" s="8">
        <f t="shared" si="5"/>
        <v>22.281504</v>
      </c>
    </row>
    <row r="639" ht="14.25" customHeight="1">
      <c r="A639" s="6" t="s">
        <v>1716</v>
      </c>
      <c r="B639" s="6" t="s">
        <v>860</v>
      </c>
      <c r="C639" s="6" t="s">
        <v>1717</v>
      </c>
      <c r="D639" s="6" t="s">
        <v>64</v>
      </c>
      <c r="E639" s="6" t="s">
        <v>22</v>
      </c>
      <c r="F639" s="6" t="s">
        <v>23</v>
      </c>
      <c r="G639" s="6">
        <v>8.0</v>
      </c>
      <c r="H639" s="6">
        <v>298.23</v>
      </c>
      <c r="I639" s="6">
        <v>440.95</v>
      </c>
      <c r="J639" s="6">
        <v>17.13</v>
      </c>
      <c r="K639" s="6" t="s">
        <v>24</v>
      </c>
      <c r="L639" s="6" t="s">
        <v>61</v>
      </c>
      <c r="M639" s="6">
        <f t="shared" si="1"/>
        <v>2385.84</v>
      </c>
      <c r="N639" s="6">
        <f t="shared" si="2"/>
        <v>2923.32212</v>
      </c>
      <c r="O639" s="6">
        <f t="shared" si="3"/>
        <v>537.48212</v>
      </c>
      <c r="P639" s="7">
        <f t="shared" si="4"/>
        <v>0.1838600393</v>
      </c>
      <c r="Q639" s="6" t="s">
        <v>34</v>
      </c>
      <c r="R639" s="8">
        <f t="shared" si="5"/>
        <v>604.27788</v>
      </c>
    </row>
    <row r="640" ht="14.25" customHeight="1">
      <c r="A640" s="6" t="s">
        <v>1718</v>
      </c>
      <c r="B640" s="6" t="s">
        <v>1719</v>
      </c>
      <c r="C640" s="6" t="s">
        <v>1720</v>
      </c>
      <c r="D640" s="6" t="s">
        <v>21</v>
      </c>
      <c r="E640" s="6" t="s">
        <v>65</v>
      </c>
      <c r="F640" s="6" t="s">
        <v>75</v>
      </c>
      <c r="G640" s="6">
        <v>6.0</v>
      </c>
      <c r="H640" s="6">
        <v>426.28</v>
      </c>
      <c r="I640" s="6">
        <v>547.47</v>
      </c>
      <c r="J640" s="6">
        <v>21.52</v>
      </c>
      <c r="K640" s="6" t="s">
        <v>44</v>
      </c>
      <c r="L640" s="6" t="s">
        <v>25</v>
      </c>
      <c r="M640" s="6">
        <f t="shared" si="1"/>
        <v>2557.68</v>
      </c>
      <c r="N640" s="6">
        <f t="shared" si="2"/>
        <v>2577.926736</v>
      </c>
      <c r="O640" s="6">
        <f t="shared" si="3"/>
        <v>20.246736</v>
      </c>
      <c r="P640" s="7">
        <f t="shared" si="4"/>
        <v>0.007853883401</v>
      </c>
      <c r="Q640" s="6" t="s">
        <v>40</v>
      </c>
      <c r="R640" s="8">
        <f t="shared" si="5"/>
        <v>706.893264</v>
      </c>
    </row>
    <row r="641" ht="14.25" customHeight="1">
      <c r="A641" s="6" t="s">
        <v>1721</v>
      </c>
      <c r="B641" s="6" t="s">
        <v>1722</v>
      </c>
      <c r="C641" s="6" t="s">
        <v>1723</v>
      </c>
      <c r="D641" s="6" t="s">
        <v>64</v>
      </c>
      <c r="E641" s="6" t="s">
        <v>31</v>
      </c>
      <c r="F641" s="6" t="s">
        <v>32</v>
      </c>
      <c r="G641" s="6">
        <v>2.0</v>
      </c>
      <c r="H641" s="6">
        <v>206.76</v>
      </c>
      <c r="I641" s="6">
        <v>263.56</v>
      </c>
      <c r="J641" s="6">
        <v>20.69</v>
      </c>
      <c r="K641" s="6" t="s">
        <v>44</v>
      </c>
      <c r="L641" s="6" t="s">
        <v>25</v>
      </c>
      <c r="M641" s="6">
        <f t="shared" si="1"/>
        <v>413.52</v>
      </c>
      <c r="N641" s="6">
        <f t="shared" si="2"/>
        <v>418.058872</v>
      </c>
      <c r="O641" s="6">
        <f t="shared" si="3"/>
        <v>4.538872</v>
      </c>
      <c r="P641" s="7">
        <f t="shared" si="4"/>
        <v>0.01085701633</v>
      </c>
      <c r="Q641" s="6" t="s">
        <v>49</v>
      </c>
      <c r="R641" s="8">
        <f t="shared" si="5"/>
        <v>109.061128</v>
      </c>
    </row>
    <row r="642" ht="14.25" customHeight="1">
      <c r="A642" s="6" t="s">
        <v>1724</v>
      </c>
      <c r="B642" s="6" t="s">
        <v>51</v>
      </c>
      <c r="C642" s="6" t="s">
        <v>1725</v>
      </c>
      <c r="D642" s="6" t="s">
        <v>48</v>
      </c>
      <c r="E642" s="6" t="s">
        <v>87</v>
      </c>
      <c r="F642" s="6" t="s">
        <v>88</v>
      </c>
      <c r="G642" s="6">
        <v>7.0</v>
      </c>
      <c r="H642" s="6">
        <v>281.42</v>
      </c>
      <c r="I642" s="6">
        <v>523.73</v>
      </c>
      <c r="J642" s="6">
        <v>9.53</v>
      </c>
      <c r="K642" s="6" t="s">
        <v>24</v>
      </c>
      <c r="L642" s="6" t="s">
        <v>55</v>
      </c>
      <c r="M642" s="6">
        <f t="shared" si="1"/>
        <v>1969.94</v>
      </c>
      <c r="N642" s="6">
        <f t="shared" si="2"/>
        <v>3316.729717</v>
      </c>
      <c r="O642" s="6">
        <f t="shared" si="3"/>
        <v>1346.789717</v>
      </c>
      <c r="P642" s="7">
        <f t="shared" si="4"/>
        <v>0.4060595321</v>
      </c>
      <c r="Q642" s="6" t="s">
        <v>49</v>
      </c>
      <c r="R642" s="8">
        <f t="shared" si="5"/>
        <v>349.380283</v>
      </c>
    </row>
    <row r="643" ht="14.25" customHeight="1">
      <c r="A643" s="6" t="s">
        <v>1726</v>
      </c>
      <c r="B643" s="6" t="s">
        <v>1727</v>
      </c>
      <c r="C643" s="6" t="s">
        <v>1728</v>
      </c>
      <c r="D643" s="6" t="s">
        <v>64</v>
      </c>
      <c r="E643" s="6" t="s">
        <v>59</v>
      </c>
      <c r="F643" s="6" t="s">
        <v>60</v>
      </c>
      <c r="G643" s="6">
        <v>4.0</v>
      </c>
      <c r="H643" s="6">
        <v>149.85</v>
      </c>
      <c r="I643" s="6">
        <v>235.41</v>
      </c>
      <c r="J643" s="6">
        <v>2.67</v>
      </c>
      <c r="K643" s="6" t="s">
        <v>44</v>
      </c>
      <c r="L643" s="6" t="s">
        <v>61</v>
      </c>
      <c r="M643" s="6">
        <f t="shared" si="1"/>
        <v>599.4</v>
      </c>
      <c r="N643" s="6">
        <f t="shared" si="2"/>
        <v>916.498212</v>
      </c>
      <c r="O643" s="6">
        <f t="shared" si="3"/>
        <v>317.098212</v>
      </c>
      <c r="P643" s="7">
        <f t="shared" si="4"/>
        <v>0.3459889041</v>
      </c>
      <c r="Q643" s="6" t="s">
        <v>76</v>
      </c>
      <c r="R643" s="8">
        <f t="shared" si="5"/>
        <v>25.141788</v>
      </c>
    </row>
    <row r="644" ht="14.25" customHeight="1">
      <c r="A644" s="6" t="s">
        <v>1729</v>
      </c>
      <c r="B644" s="6" t="s">
        <v>1730</v>
      </c>
      <c r="C644" s="6" t="s">
        <v>1731</v>
      </c>
      <c r="D644" s="6" t="s">
        <v>70</v>
      </c>
      <c r="E644" s="6" t="s">
        <v>65</v>
      </c>
      <c r="F644" s="6" t="s">
        <v>66</v>
      </c>
      <c r="G644" s="6">
        <v>5.0</v>
      </c>
      <c r="H644" s="6">
        <v>268.21</v>
      </c>
      <c r="I644" s="6">
        <v>382.88</v>
      </c>
      <c r="J644" s="6">
        <v>6.54</v>
      </c>
      <c r="K644" s="6" t="s">
        <v>44</v>
      </c>
      <c r="L644" s="6" t="s">
        <v>25</v>
      </c>
      <c r="M644" s="6">
        <f t="shared" si="1"/>
        <v>1341.05</v>
      </c>
      <c r="N644" s="6">
        <f t="shared" si="2"/>
        <v>1789.19824</v>
      </c>
      <c r="O644" s="6">
        <f t="shared" si="3"/>
        <v>448.14824</v>
      </c>
      <c r="P644" s="7">
        <f t="shared" si="4"/>
        <v>0.2504743354</v>
      </c>
      <c r="Q644" s="6" t="s">
        <v>49</v>
      </c>
      <c r="R644" s="8">
        <f t="shared" si="5"/>
        <v>125.20176</v>
      </c>
    </row>
    <row r="645" ht="14.25" customHeight="1">
      <c r="A645" s="6" t="s">
        <v>1732</v>
      </c>
      <c r="B645" s="6" t="s">
        <v>657</v>
      </c>
      <c r="C645" s="6" t="s">
        <v>1733</v>
      </c>
      <c r="D645" s="6" t="s">
        <v>64</v>
      </c>
      <c r="E645" s="6" t="s">
        <v>31</v>
      </c>
      <c r="F645" s="6" t="s">
        <v>32</v>
      </c>
      <c r="G645" s="6">
        <v>4.0</v>
      </c>
      <c r="H645" s="6">
        <v>171.22</v>
      </c>
      <c r="I645" s="6">
        <v>221.37</v>
      </c>
      <c r="J645" s="6">
        <v>2.0</v>
      </c>
      <c r="K645" s="6" t="s">
        <v>24</v>
      </c>
      <c r="L645" s="6" t="s">
        <v>33</v>
      </c>
      <c r="M645" s="6">
        <f t="shared" si="1"/>
        <v>684.88</v>
      </c>
      <c r="N645" s="6">
        <f t="shared" si="2"/>
        <v>867.7704</v>
      </c>
      <c r="O645" s="6">
        <f t="shared" si="3"/>
        <v>182.8904</v>
      </c>
      <c r="P645" s="7">
        <f t="shared" si="4"/>
        <v>0.210758975</v>
      </c>
      <c r="Q645" s="6" t="s">
        <v>34</v>
      </c>
      <c r="R645" s="8">
        <f t="shared" si="5"/>
        <v>17.7096</v>
      </c>
    </row>
    <row r="646" ht="14.25" customHeight="1">
      <c r="A646" s="6" t="s">
        <v>1734</v>
      </c>
      <c r="B646" s="6" t="s">
        <v>835</v>
      </c>
      <c r="C646" s="6" t="s">
        <v>1735</v>
      </c>
      <c r="D646" s="6" t="s">
        <v>30</v>
      </c>
      <c r="E646" s="6" t="s">
        <v>104</v>
      </c>
      <c r="F646" s="6" t="s">
        <v>105</v>
      </c>
      <c r="G646" s="6">
        <v>5.0</v>
      </c>
      <c r="H646" s="6">
        <v>222.79</v>
      </c>
      <c r="I646" s="6">
        <v>309.01</v>
      </c>
      <c r="J646" s="6">
        <v>22.82</v>
      </c>
      <c r="K646" s="6" t="s">
        <v>44</v>
      </c>
      <c r="L646" s="6" t="s">
        <v>33</v>
      </c>
      <c r="M646" s="6">
        <f t="shared" si="1"/>
        <v>1113.95</v>
      </c>
      <c r="N646" s="6">
        <f t="shared" si="2"/>
        <v>1192.46959</v>
      </c>
      <c r="O646" s="6">
        <f t="shared" si="3"/>
        <v>78.51959</v>
      </c>
      <c r="P646" s="7">
        <f t="shared" si="4"/>
        <v>0.06584619906</v>
      </c>
      <c r="Q646" s="6" t="s">
        <v>76</v>
      </c>
      <c r="R646" s="8">
        <f t="shared" si="5"/>
        <v>352.58041</v>
      </c>
    </row>
    <row r="647" ht="14.25" customHeight="1">
      <c r="A647" s="6" t="s">
        <v>1736</v>
      </c>
      <c r="B647" s="6" t="s">
        <v>1737</v>
      </c>
      <c r="C647" s="6" t="s">
        <v>1738</v>
      </c>
      <c r="D647" s="6" t="s">
        <v>64</v>
      </c>
      <c r="E647" s="6" t="s">
        <v>87</v>
      </c>
      <c r="F647" s="6" t="s">
        <v>88</v>
      </c>
      <c r="G647" s="6">
        <v>4.0</v>
      </c>
      <c r="H647" s="6">
        <v>190.48</v>
      </c>
      <c r="I647" s="6">
        <v>275.03</v>
      </c>
      <c r="J647" s="6">
        <v>18.61</v>
      </c>
      <c r="K647" s="6" t="s">
        <v>24</v>
      </c>
      <c r="L647" s="6" t="s">
        <v>61</v>
      </c>
      <c r="M647" s="6">
        <f t="shared" si="1"/>
        <v>761.92</v>
      </c>
      <c r="N647" s="6">
        <f t="shared" si="2"/>
        <v>895.387668</v>
      </c>
      <c r="O647" s="6">
        <f t="shared" si="3"/>
        <v>133.467668</v>
      </c>
      <c r="P647" s="7">
        <f t="shared" si="4"/>
        <v>0.1490613203</v>
      </c>
      <c r="Q647" s="6" t="s">
        <v>49</v>
      </c>
      <c r="R647" s="8">
        <f t="shared" si="5"/>
        <v>204.732332</v>
      </c>
    </row>
    <row r="648" ht="14.25" customHeight="1">
      <c r="A648" s="6" t="s">
        <v>1739</v>
      </c>
      <c r="B648" s="6" t="s">
        <v>156</v>
      </c>
      <c r="C648" s="6" t="s">
        <v>1740</v>
      </c>
      <c r="D648" s="6" t="s">
        <v>64</v>
      </c>
      <c r="E648" s="6" t="s">
        <v>104</v>
      </c>
      <c r="F648" s="6" t="s">
        <v>105</v>
      </c>
      <c r="G648" s="6">
        <v>8.0</v>
      </c>
      <c r="H648" s="6">
        <v>105.77</v>
      </c>
      <c r="I648" s="6">
        <v>152.32</v>
      </c>
      <c r="J648" s="6">
        <v>21.08</v>
      </c>
      <c r="K648" s="6" t="s">
        <v>44</v>
      </c>
      <c r="L648" s="6" t="s">
        <v>55</v>
      </c>
      <c r="M648" s="6">
        <f t="shared" si="1"/>
        <v>846.16</v>
      </c>
      <c r="N648" s="6">
        <f t="shared" si="2"/>
        <v>961.687552</v>
      </c>
      <c r="O648" s="6">
        <f t="shared" si="3"/>
        <v>115.527552</v>
      </c>
      <c r="P648" s="7">
        <f t="shared" si="4"/>
        <v>0.1201300274</v>
      </c>
      <c r="Q648" s="6" t="s">
        <v>76</v>
      </c>
      <c r="R648" s="8">
        <f t="shared" si="5"/>
        <v>256.872448</v>
      </c>
    </row>
    <row r="649" ht="14.25" customHeight="1">
      <c r="A649" s="6" t="s">
        <v>1741</v>
      </c>
      <c r="B649" s="6" t="s">
        <v>368</v>
      </c>
      <c r="C649" s="6" t="s">
        <v>1742</v>
      </c>
      <c r="D649" s="6" t="s">
        <v>64</v>
      </c>
      <c r="E649" s="6" t="s">
        <v>38</v>
      </c>
      <c r="F649" s="6" t="s">
        <v>39</v>
      </c>
      <c r="G649" s="6">
        <v>3.0</v>
      </c>
      <c r="H649" s="6">
        <v>285.49</v>
      </c>
      <c r="I649" s="6">
        <v>339.59</v>
      </c>
      <c r="J649" s="6">
        <v>7.03</v>
      </c>
      <c r="K649" s="6" t="s">
        <v>24</v>
      </c>
      <c r="L649" s="6" t="s">
        <v>55</v>
      </c>
      <c r="M649" s="6">
        <f t="shared" si="1"/>
        <v>856.47</v>
      </c>
      <c r="N649" s="6">
        <f t="shared" si="2"/>
        <v>947.150469</v>
      </c>
      <c r="O649" s="6">
        <f t="shared" si="3"/>
        <v>90.680469</v>
      </c>
      <c r="P649" s="7">
        <f t="shared" si="4"/>
        <v>0.09574029889</v>
      </c>
      <c r="Q649" s="6" t="s">
        <v>26</v>
      </c>
      <c r="R649" s="8">
        <f t="shared" si="5"/>
        <v>71.619531</v>
      </c>
    </row>
    <row r="650" ht="14.25" customHeight="1">
      <c r="A650" s="6" t="s">
        <v>1743</v>
      </c>
      <c r="B650" s="6" t="s">
        <v>173</v>
      </c>
      <c r="C650" s="6" t="s">
        <v>1744</v>
      </c>
      <c r="D650" s="6" t="s">
        <v>70</v>
      </c>
      <c r="E650" s="6" t="s">
        <v>59</v>
      </c>
      <c r="F650" s="6" t="s">
        <v>60</v>
      </c>
      <c r="G650" s="6">
        <v>7.0</v>
      </c>
      <c r="H650" s="6">
        <v>270.51</v>
      </c>
      <c r="I650" s="6">
        <v>462.55</v>
      </c>
      <c r="J650" s="6">
        <v>0.86</v>
      </c>
      <c r="K650" s="6" t="s">
        <v>44</v>
      </c>
      <c r="L650" s="6" t="s">
        <v>33</v>
      </c>
      <c r="M650" s="6">
        <f t="shared" si="1"/>
        <v>1893.57</v>
      </c>
      <c r="N650" s="6">
        <f t="shared" si="2"/>
        <v>3210.00449</v>
      </c>
      <c r="O650" s="6">
        <f t="shared" si="3"/>
        <v>1316.43449</v>
      </c>
      <c r="P650" s="7">
        <f t="shared" si="4"/>
        <v>0.4101036289</v>
      </c>
      <c r="Q650" s="6" t="s">
        <v>40</v>
      </c>
      <c r="R650" s="8">
        <f t="shared" si="5"/>
        <v>27.84551</v>
      </c>
    </row>
    <row r="651" ht="14.25" customHeight="1">
      <c r="A651" s="6" t="s">
        <v>1745</v>
      </c>
      <c r="B651" s="6" t="s">
        <v>1746</v>
      </c>
      <c r="C651" s="6" t="s">
        <v>1744</v>
      </c>
      <c r="D651" s="6" t="s">
        <v>21</v>
      </c>
      <c r="E651" s="6" t="s">
        <v>65</v>
      </c>
      <c r="F651" s="6" t="s">
        <v>75</v>
      </c>
      <c r="G651" s="6">
        <v>5.0</v>
      </c>
      <c r="H651" s="6">
        <v>290.3</v>
      </c>
      <c r="I651" s="6">
        <v>545.19</v>
      </c>
      <c r="J651" s="6">
        <v>12.36</v>
      </c>
      <c r="K651" s="6" t="s">
        <v>24</v>
      </c>
      <c r="L651" s="6" t="s">
        <v>25</v>
      </c>
      <c r="M651" s="6">
        <f t="shared" si="1"/>
        <v>1451.5</v>
      </c>
      <c r="N651" s="6">
        <f t="shared" si="2"/>
        <v>2389.02258</v>
      </c>
      <c r="O651" s="6">
        <f t="shared" si="3"/>
        <v>937.52258</v>
      </c>
      <c r="P651" s="7">
        <f t="shared" si="4"/>
        <v>0.3924293508</v>
      </c>
      <c r="Q651" s="6" t="s">
        <v>34</v>
      </c>
      <c r="R651" s="8">
        <f t="shared" si="5"/>
        <v>336.92742</v>
      </c>
    </row>
    <row r="652" ht="14.25" customHeight="1">
      <c r="A652" s="6" t="s">
        <v>1747</v>
      </c>
      <c r="B652" s="6" t="s">
        <v>1719</v>
      </c>
      <c r="C652" s="6" t="s">
        <v>1748</v>
      </c>
      <c r="D652" s="6" t="s">
        <v>21</v>
      </c>
      <c r="E652" s="6" t="s">
        <v>22</v>
      </c>
      <c r="F652" s="6" t="s">
        <v>23</v>
      </c>
      <c r="G652" s="6">
        <v>2.0</v>
      </c>
      <c r="H652" s="6">
        <v>90.32</v>
      </c>
      <c r="I652" s="6">
        <v>166.86</v>
      </c>
      <c r="J652" s="6">
        <v>5.13</v>
      </c>
      <c r="K652" s="6" t="s">
        <v>24</v>
      </c>
      <c r="L652" s="6" t="s">
        <v>61</v>
      </c>
      <c r="M652" s="6">
        <f t="shared" si="1"/>
        <v>180.64</v>
      </c>
      <c r="N652" s="6">
        <f t="shared" si="2"/>
        <v>316.600164</v>
      </c>
      <c r="O652" s="6">
        <f t="shared" si="3"/>
        <v>135.960164</v>
      </c>
      <c r="P652" s="7">
        <f t="shared" si="4"/>
        <v>0.4294380719</v>
      </c>
      <c r="Q652" s="6" t="s">
        <v>26</v>
      </c>
      <c r="R652" s="8">
        <f t="shared" si="5"/>
        <v>17.119836</v>
      </c>
    </row>
    <row r="653" ht="14.25" customHeight="1">
      <c r="A653" s="6" t="s">
        <v>1749</v>
      </c>
      <c r="B653" s="6" t="s">
        <v>676</v>
      </c>
      <c r="C653" s="6" t="s">
        <v>1750</v>
      </c>
      <c r="D653" s="6" t="s">
        <v>21</v>
      </c>
      <c r="E653" s="6" t="s">
        <v>38</v>
      </c>
      <c r="F653" s="6" t="s">
        <v>71</v>
      </c>
      <c r="G653" s="6">
        <v>3.0</v>
      </c>
      <c r="H653" s="6">
        <v>374.1</v>
      </c>
      <c r="I653" s="6">
        <v>560.17</v>
      </c>
      <c r="J653" s="6">
        <v>7.79</v>
      </c>
      <c r="K653" s="6" t="s">
        <v>24</v>
      </c>
      <c r="L653" s="6" t="s">
        <v>55</v>
      </c>
      <c r="M653" s="6">
        <f t="shared" si="1"/>
        <v>1122.3</v>
      </c>
      <c r="N653" s="6">
        <f t="shared" si="2"/>
        <v>1549.598271</v>
      </c>
      <c r="O653" s="6">
        <f t="shared" si="3"/>
        <v>427.298271</v>
      </c>
      <c r="P653" s="7">
        <f t="shared" si="4"/>
        <v>0.2757477722</v>
      </c>
      <c r="Q653" s="6" t="s">
        <v>76</v>
      </c>
      <c r="R653" s="8">
        <f t="shared" si="5"/>
        <v>130.911729</v>
      </c>
    </row>
    <row r="654" ht="14.25" customHeight="1">
      <c r="A654" s="6" t="s">
        <v>1751</v>
      </c>
      <c r="B654" s="6" t="s">
        <v>1752</v>
      </c>
      <c r="C654" s="6" t="s">
        <v>1753</v>
      </c>
      <c r="D654" s="6" t="s">
        <v>30</v>
      </c>
      <c r="E654" s="6" t="s">
        <v>31</v>
      </c>
      <c r="F654" s="6" t="s">
        <v>32</v>
      </c>
      <c r="G654" s="6">
        <v>4.0</v>
      </c>
      <c r="H654" s="6">
        <v>149.2</v>
      </c>
      <c r="I654" s="6">
        <v>249.46</v>
      </c>
      <c r="J654" s="6">
        <v>19.65</v>
      </c>
      <c r="K654" s="6" t="s">
        <v>44</v>
      </c>
      <c r="L654" s="6" t="s">
        <v>33</v>
      </c>
      <c r="M654" s="6">
        <f t="shared" si="1"/>
        <v>596.8</v>
      </c>
      <c r="N654" s="6">
        <f t="shared" si="2"/>
        <v>801.76444</v>
      </c>
      <c r="O654" s="6">
        <f t="shared" si="3"/>
        <v>204.96444</v>
      </c>
      <c r="P654" s="7">
        <f t="shared" si="4"/>
        <v>0.2556417194</v>
      </c>
      <c r="Q654" s="6" t="s">
        <v>26</v>
      </c>
      <c r="R654" s="8">
        <f t="shared" si="5"/>
        <v>196.07556</v>
      </c>
    </row>
    <row r="655" ht="14.25" customHeight="1">
      <c r="A655" s="6" t="s">
        <v>1754</v>
      </c>
      <c r="B655" s="6" t="s">
        <v>671</v>
      </c>
      <c r="C655" s="6" t="s">
        <v>1755</v>
      </c>
      <c r="D655" s="6" t="s">
        <v>30</v>
      </c>
      <c r="E655" s="6" t="s">
        <v>104</v>
      </c>
      <c r="F655" s="6" t="s">
        <v>105</v>
      </c>
      <c r="G655" s="6">
        <v>4.0</v>
      </c>
      <c r="H655" s="6">
        <v>397.29</v>
      </c>
      <c r="I655" s="6">
        <v>527.27</v>
      </c>
      <c r="J655" s="6">
        <v>24.5</v>
      </c>
      <c r="K655" s="6" t="s">
        <v>24</v>
      </c>
      <c r="L655" s="6" t="s">
        <v>25</v>
      </c>
      <c r="M655" s="6">
        <f t="shared" si="1"/>
        <v>1589.16</v>
      </c>
      <c r="N655" s="6">
        <f t="shared" si="2"/>
        <v>1592.3554</v>
      </c>
      <c r="O655" s="6">
        <f t="shared" si="3"/>
        <v>3.1954</v>
      </c>
      <c r="P655" s="7">
        <f t="shared" si="4"/>
        <v>0.002006712823</v>
      </c>
      <c r="Q655" s="6" t="s">
        <v>40</v>
      </c>
      <c r="R655" s="8">
        <f t="shared" si="5"/>
        <v>516.7246</v>
      </c>
    </row>
    <row r="656" ht="14.25" customHeight="1">
      <c r="A656" s="6" t="s">
        <v>1756</v>
      </c>
      <c r="B656" s="6" t="s">
        <v>854</v>
      </c>
      <c r="C656" s="6" t="s">
        <v>1757</v>
      </c>
      <c r="D656" s="6" t="s">
        <v>48</v>
      </c>
      <c r="E656" s="6" t="s">
        <v>53</v>
      </c>
      <c r="F656" s="6" t="s">
        <v>54</v>
      </c>
      <c r="G656" s="6">
        <v>8.0</v>
      </c>
      <c r="H656" s="6">
        <v>419.0</v>
      </c>
      <c r="I656" s="6">
        <v>511.59</v>
      </c>
      <c r="J656" s="6">
        <v>17.62</v>
      </c>
      <c r="K656" s="6" t="s">
        <v>44</v>
      </c>
      <c r="L656" s="6" t="s">
        <v>33</v>
      </c>
      <c r="M656" s="6">
        <f t="shared" si="1"/>
        <v>3352</v>
      </c>
      <c r="N656" s="6">
        <f t="shared" si="2"/>
        <v>3371.582736</v>
      </c>
      <c r="O656" s="6">
        <f t="shared" si="3"/>
        <v>19.582736</v>
      </c>
      <c r="P656" s="7">
        <f t="shared" si="4"/>
        <v>0.005808173055</v>
      </c>
      <c r="Q656" s="6" t="s">
        <v>40</v>
      </c>
      <c r="R656" s="8">
        <f t="shared" si="5"/>
        <v>721.137264</v>
      </c>
    </row>
    <row r="657" ht="14.25" customHeight="1">
      <c r="A657" s="6" t="s">
        <v>1758</v>
      </c>
      <c r="B657" s="6" t="s">
        <v>1759</v>
      </c>
      <c r="C657" s="6" t="s">
        <v>1760</v>
      </c>
      <c r="D657" s="6" t="s">
        <v>64</v>
      </c>
      <c r="E657" s="6" t="s">
        <v>65</v>
      </c>
      <c r="F657" s="6" t="s">
        <v>66</v>
      </c>
      <c r="G657" s="6">
        <v>1.0</v>
      </c>
      <c r="H657" s="6">
        <v>326.71</v>
      </c>
      <c r="I657" s="6">
        <v>530.22</v>
      </c>
      <c r="J657" s="6">
        <v>3.11</v>
      </c>
      <c r="K657" s="6" t="s">
        <v>24</v>
      </c>
      <c r="L657" s="6" t="s">
        <v>61</v>
      </c>
      <c r="M657" s="6">
        <f t="shared" si="1"/>
        <v>326.71</v>
      </c>
      <c r="N657" s="6">
        <f t="shared" si="2"/>
        <v>513.730158</v>
      </c>
      <c r="O657" s="6">
        <f t="shared" si="3"/>
        <v>187.020158</v>
      </c>
      <c r="P657" s="7">
        <f t="shared" si="4"/>
        <v>0.3640435647</v>
      </c>
      <c r="Q657" s="6" t="s">
        <v>34</v>
      </c>
      <c r="R657" s="8">
        <f t="shared" si="5"/>
        <v>16.489842</v>
      </c>
    </row>
    <row r="658" ht="14.25" customHeight="1">
      <c r="A658" s="6" t="s">
        <v>1761</v>
      </c>
      <c r="B658" s="6" t="s">
        <v>1762</v>
      </c>
      <c r="C658" s="6" t="s">
        <v>1763</v>
      </c>
      <c r="D658" s="6" t="s">
        <v>30</v>
      </c>
      <c r="E658" s="6" t="s">
        <v>22</v>
      </c>
      <c r="F658" s="6" t="s">
        <v>23</v>
      </c>
      <c r="G658" s="6">
        <v>3.0</v>
      </c>
      <c r="H658" s="6">
        <v>95.25</v>
      </c>
      <c r="I658" s="6">
        <v>156.65</v>
      </c>
      <c r="J658" s="6">
        <v>8.57</v>
      </c>
      <c r="K658" s="6" t="s">
        <v>44</v>
      </c>
      <c r="L658" s="6" t="s">
        <v>25</v>
      </c>
      <c r="M658" s="6">
        <f t="shared" si="1"/>
        <v>285.75</v>
      </c>
      <c r="N658" s="6">
        <f t="shared" si="2"/>
        <v>429.675285</v>
      </c>
      <c r="O658" s="6">
        <f t="shared" si="3"/>
        <v>143.925285</v>
      </c>
      <c r="P658" s="7">
        <f t="shared" si="4"/>
        <v>0.3349629127</v>
      </c>
      <c r="Q658" s="6" t="s">
        <v>76</v>
      </c>
      <c r="R658" s="8">
        <f t="shared" si="5"/>
        <v>40.274715</v>
      </c>
    </row>
    <row r="659" ht="14.25" customHeight="1">
      <c r="A659" s="6" t="s">
        <v>1764</v>
      </c>
      <c r="B659" s="6" t="s">
        <v>1765</v>
      </c>
      <c r="C659" s="6" t="s">
        <v>1766</v>
      </c>
      <c r="D659" s="6" t="s">
        <v>64</v>
      </c>
      <c r="E659" s="6" t="s">
        <v>65</v>
      </c>
      <c r="F659" s="6" t="s">
        <v>75</v>
      </c>
      <c r="G659" s="6">
        <v>4.0</v>
      </c>
      <c r="H659" s="6">
        <v>169.87</v>
      </c>
      <c r="I659" s="6">
        <v>290.29</v>
      </c>
      <c r="J659" s="6">
        <v>16.6</v>
      </c>
      <c r="K659" s="6" t="s">
        <v>24</v>
      </c>
      <c r="L659" s="6" t="s">
        <v>61</v>
      </c>
      <c r="M659" s="6">
        <f t="shared" si="1"/>
        <v>679.48</v>
      </c>
      <c r="N659" s="6">
        <f t="shared" si="2"/>
        <v>968.40744</v>
      </c>
      <c r="O659" s="6">
        <f t="shared" si="3"/>
        <v>288.92744</v>
      </c>
      <c r="P659" s="7">
        <f t="shared" si="4"/>
        <v>0.2983531808</v>
      </c>
      <c r="Q659" s="6" t="s">
        <v>26</v>
      </c>
      <c r="R659" s="8">
        <f t="shared" si="5"/>
        <v>192.75256</v>
      </c>
    </row>
    <row r="660" ht="14.25" customHeight="1">
      <c r="A660" s="6" t="s">
        <v>1767</v>
      </c>
      <c r="B660" s="6" t="s">
        <v>1768</v>
      </c>
      <c r="C660" s="6" t="s">
        <v>1769</v>
      </c>
      <c r="D660" s="6" t="s">
        <v>21</v>
      </c>
      <c r="E660" s="6" t="s">
        <v>31</v>
      </c>
      <c r="F660" s="6" t="s">
        <v>32</v>
      </c>
      <c r="G660" s="6">
        <v>2.0</v>
      </c>
      <c r="H660" s="6">
        <v>67.53</v>
      </c>
      <c r="I660" s="6">
        <v>127.44</v>
      </c>
      <c r="J660" s="6">
        <v>10.8</v>
      </c>
      <c r="K660" s="6" t="s">
        <v>44</v>
      </c>
      <c r="L660" s="6" t="s">
        <v>55</v>
      </c>
      <c r="M660" s="6">
        <f t="shared" si="1"/>
        <v>135.06</v>
      </c>
      <c r="N660" s="6">
        <f t="shared" si="2"/>
        <v>227.35296</v>
      </c>
      <c r="O660" s="6">
        <f t="shared" si="3"/>
        <v>92.29296</v>
      </c>
      <c r="P660" s="7">
        <f t="shared" si="4"/>
        <v>0.4059457154</v>
      </c>
      <c r="Q660" s="6" t="s">
        <v>49</v>
      </c>
      <c r="R660" s="8">
        <f t="shared" si="5"/>
        <v>27.52704</v>
      </c>
    </row>
    <row r="661" ht="14.25" customHeight="1">
      <c r="A661" s="6" t="s">
        <v>1770</v>
      </c>
      <c r="B661" s="6" t="s">
        <v>620</v>
      </c>
      <c r="C661" s="6" t="s">
        <v>1771</v>
      </c>
      <c r="D661" s="6" t="s">
        <v>83</v>
      </c>
      <c r="E661" s="6" t="s">
        <v>22</v>
      </c>
      <c r="F661" s="6" t="s">
        <v>23</v>
      </c>
      <c r="G661" s="6">
        <v>1.0</v>
      </c>
      <c r="H661" s="6">
        <v>188.09</v>
      </c>
      <c r="I661" s="6">
        <v>283.04</v>
      </c>
      <c r="J661" s="6">
        <v>15.89</v>
      </c>
      <c r="K661" s="6" t="s">
        <v>44</v>
      </c>
      <c r="L661" s="6" t="s">
        <v>55</v>
      </c>
      <c r="M661" s="6">
        <f t="shared" si="1"/>
        <v>188.09</v>
      </c>
      <c r="N661" s="6">
        <f t="shared" si="2"/>
        <v>238.064944</v>
      </c>
      <c r="O661" s="6">
        <f t="shared" si="3"/>
        <v>49.974944</v>
      </c>
      <c r="P661" s="7">
        <f t="shared" si="4"/>
        <v>0.2099214742</v>
      </c>
      <c r="Q661" s="6" t="s">
        <v>49</v>
      </c>
      <c r="R661" s="8">
        <f t="shared" si="5"/>
        <v>44.975056</v>
      </c>
    </row>
    <row r="662" ht="14.25" customHeight="1">
      <c r="A662" s="6" t="s">
        <v>1772</v>
      </c>
      <c r="B662" s="6" t="s">
        <v>1773</v>
      </c>
      <c r="C662" s="6" t="s">
        <v>1774</v>
      </c>
      <c r="D662" s="6" t="s">
        <v>70</v>
      </c>
      <c r="E662" s="6" t="s">
        <v>104</v>
      </c>
      <c r="F662" s="6" t="s">
        <v>105</v>
      </c>
      <c r="G662" s="6">
        <v>2.0</v>
      </c>
      <c r="H662" s="6">
        <v>416.78</v>
      </c>
      <c r="I662" s="6">
        <v>520.17</v>
      </c>
      <c r="J662" s="6">
        <v>24.01</v>
      </c>
      <c r="K662" s="6" t="s">
        <v>24</v>
      </c>
      <c r="L662" s="6" t="s">
        <v>25</v>
      </c>
      <c r="M662" s="6">
        <f t="shared" si="1"/>
        <v>833.56</v>
      </c>
      <c r="N662" s="6">
        <f t="shared" si="2"/>
        <v>790.554366</v>
      </c>
      <c r="O662" s="6">
        <f t="shared" si="3"/>
        <v>-43.005634</v>
      </c>
      <c r="P662" s="7">
        <f t="shared" si="4"/>
        <v>-0.05439933779</v>
      </c>
      <c r="Q662" s="6" t="s">
        <v>40</v>
      </c>
      <c r="R662" s="8">
        <f t="shared" si="5"/>
        <v>249.785634</v>
      </c>
    </row>
    <row r="663" ht="14.25" customHeight="1">
      <c r="A663" s="6" t="s">
        <v>1775</v>
      </c>
      <c r="B663" s="6" t="s">
        <v>292</v>
      </c>
      <c r="C663" s="6" t="s">
        <v>1776</v>
      </c>
      <c r="D663" s="6" t="s">
        <v>64</v>
      </c>
      <c r="E663" s="6" t="s">
        <v>87</v>
      </c>
      <c r="F663" s="6" t="s">
        <v>88</v>
      </c>
      <c r="G663" s="6">
        <v>4.0</v>
      </c>
      <c r="H663" s="6">
        <v>385.62</v>
      </c>
      <c r="I663" s="6">
        <v>577.83</v>
      </c>
      <c r="J663" s="6">
        <v>11.37</v>
      </c>
      <c r="K663" s="6" t="s">
        <v>24</v>
      </c>
      <c r="L663" s="6" t="s">
        <v>33</v>
      </c>
      <c r="M663" s="6">
        <f t="shared" si="1"/>
        <v>1542.48</v>
      </c>
      <c r="N663" s="6">
        <f t="shared" si="2"/>
        <v>2048.522916</v>
      </c>
      <c r="O663" s="6">
        <f t="shared" si="3"/>
        <v>506.042916</v>
      </c>
      <c r="P663" s="7">
        <f t="shared" si="4"/>
        <v>0.2470281939</v>
      </c>
      <c r="Q663" s="6" t="s">
        <v>76</v>
      </c>
      <c r="R663" s="8">
        <f t="shared" si="5"/>
        <v>262.797084</v>
      </c>
    </row>
    <row r="664" ht="14.25" customHeight="1">
      <c r="A664" s="6" t="s">
        <v>1777</v>
      </c>
      <c r="B664" s="6" t="s">
        <v>1778</v>
      </c>
      <c r="C664" s="6" t="s">
        <v>1779</v>
      </c>
      <c r="D664" s="6" t="s">
        <v>21</v>
      </c>
      <c r="E664" s="6" t="s">
        <v>31</v>
      </c>
      <c r="F664" s="6" t="s">
        <v>32</v>
      </c>
      <c r="G664" s="6">
        <v>3.0</v>
      </c>
      <c r="H664" s="6">
        <v>242.82</v>
      </c>
      <c r="I664" s="6">
        <v>341.21</v>
      </c>
      <c r="J664" s="6">
        <v>17.8</v>
      </c>
      <c r="K664" s="6" t="s">
        <v>24</v>
      </c>
      <c r="L664" s="6" t="s">
        <v>61</v>
      </c>
      <c r="M664" s="6">
        <f t="shared" si="1"/>
        <v>728.46</v>
      </c>
      <c r="N664" s="6">
        <f t="shared" si="2"/>
        <v>841.42386</v>
      </c>
      <c r="O664" s="6">
        <f t="shared" si="3"/>
        <v>112.96386</v>
      </c>
      <c r="P664" s="7">
        <f t="shared" si="4"/>
        <v>0.1342532169</v>
      </c>
      <c r="Q664" s="6" t="s">
        <v>34</v>
      </c>
      <c r="R664" s="8">
        <f t="shared" si="5"/>
        <v>182.20614</v>
      </c>
    </row>
    <row r="665" ht="14.25" customHeight="1">
      <c r="A665" s="6" t="s">
        <v>1780</v>
      </c>
      <c r="B665" s="6" t="s">
        <v>1781</v>
      </c>
      <c r="C665" s="6" t="s">
        <v>1782</v>
      </c>
      <c r="D665" s="6" t="s">
        <v>48</v>
      </c>
      <c r="E665" s="6" t="s">
        <v>65</v>
      </c>
      <c r="F665" s="6" t="s">
        <v>75</v>
      </c>
      <c r="G665" s="6">
        <v>7.0</v>
      </c>
      <c r="H665" s="6">
        <v>192.95</v>
      </c>
      <c r="I665" s="6">
        <v>383.93</v>
      </c>
      <c r="J665" s="6">
        <v>24.99</v>
      </c>
      <c r="K665" s="6" t="s">
        <v>24</v>
      </c>
      <c r="L665" s="6" t="s">
        <v>55</v>
      </c>
      <c r="M665" s="6">
        <f t="shared" si="1"/>
        <v>1350.65</v>
      </c>
      <c r="N665" s="6">
        <f t="shared" si="2"/>
        <v>2015.901251</v>
      </c>
      <c r="O665" s="6">
        <f t="shared" si="3"/>
        <v>665.251251</v>
      </c>
      <c r="P665" s="7">
        <f t="shared" si="4"/>
        <v>0.3300019039</v>
      </c>
      <c r="Q665" s="6" t="s">
        <v>49</v>
      </c>
      <c r="R665" s="8">
        <f t="shared" si="5"/>
        <v>671.608749</v>
      </c>
    </row>
    <row r="666" ht="14.25" customHeight="1">
      <c r="A666" s="6" t="s">
        <v>1783</v>
      </c>
      <c r="B666" s="6" t="s">
        <v>965</v>
      </c>
      <c r="C666" s="6" t="s">
        <v>1784</v>
      </c>
      <c r="D666" s="6" t="s">
        <v>70</v>
      </c>
      <c r="E666" s="6" t="s">
        <v>22</v>
      </c>
      <c r="F666" s="6" t="s">
        <v>23</v>
      </c>
      <c r="G666" s="6">
        <v>3.0</v>
      </c>
      <c r="H666" s="6">
        <v>107.87</v>
      </c>
      <c r="I666" s="6">
        <v>144.04</v>
      </c>
      <c r="J666" s="6">
        <v>19.8</v>
      </c>
      <c r="K666" s="6" t="s">
        <v>24</v>
      </c>
      <c r="L666" s="6" t="s">
        <v>25</v>
      </c>
      <c r="M666" s="6">
        <f t="shared" si="1"/>
        <v>323.61</v>
      </c>
      <c r="N666" s="6">
        <f t="shared" si="2"/>
        <v>346.56024</v>
      </c>
      <c r="O666" s="6">
        <f t="shared" si="3"/>
        <v>22.95024</v>
      </c>
      <c r="P666" s="7">
        <f t="shared" si="4"/>
        <v>0.06622294583</v>
      </c>
      <c r="Q666" s="6" t="s">
        <v>26</v>
      </c>
      <c r="R666" s="8">
        <f t="shared" si="5"/>
        <v>85.55976</v>
      </c>
    </row>
    <row r="667" ht="14.25" customHeight="1">
      <c r="A667" s="6" t="s">
        <v>1785</v>
      </c>
      <c r="B667" s="6" t="s">
        <v>28</v>
      </c>
      <c r="C667" s="6" t="s">
        <v>1786</v>
      </c>
      <c r="D667" s="6" t="s">
        <v>70</v>
      </c>
      <c r="E667" s="6" t="s">
        <v>87</v>
      </c>
      <c r="F667" s="6" t="s">
        <v>88</v>
      </c>
      <c r="G667" s="6">
        <v>7.0</v>
      </c>
      <c r="H667" s="6">
        <v>247.49</v>
      </c>
      <c r="I667" s="6">
        <v>334.09</v>
      </c>
      <c r="J667" s="6">
        <v>23.86</v>
      </c>
      <c r="K667" s="6" t="s">
        <v>44</v>
      </c>
      <c r="L667" s="6" t="s">
        <v>61</v>
      </c>
      <c r="M667" s="6">
        <f t="shared" si="1"/>
        <v>1732.43</v>
      </c>
      <c r="N667" s="6">
        <f t="shared" si="2"/>
        <v>1780.632882</v>
      </c>
      <c r="O667" s="6">
        <f t="shared" si="3"/>
        <v>48.202882</v>
      </c>
      <c r="P667" s="7">
        <f t="shared" si="4"/>
        <v>0.02707064577</v>
      </c>
      <c r="Q667" s="6" t="s">
        <v>34</v>
      </c>
      <c r="R667" s="8">
        <f t="shared" si="5"/>
        <v>557.997118</v>
      </c>
    </row>
    <row r="668" ht="14.25" customHeight="1">
      <c r="A668" s="6" t="s">
        <v>1787</v>
      </c>
      <c r="B668" s="6" t="s">
        <v>1788</v>
      </c>
      <c r="C668" s="6" t="s">
        <v>1789</v>
      </c>
      <c r="D668" s="6" t="s">
        <v>21</v>
      </c>
      <c r="E668" s="6" t="s">
        <v>53</v>
      </c>
      <c r="F668" s="6" t="s">
        <v>54</v>
      </c>
      <c r="G668" s="6">
        <v>1.0</v>
      </c>
      <c r="H668" s="6">
        <v>116.03</v>
      </c>
      <c r="I668" s="6">
        <v>149.35</v>
      </c>
      <c r="J668" s="6">
        <v>15.8</v>
      </c>
      <c r="K668" s="6" t="s">
        <v>44</v>
      </c>
      <c r="L668" s="6" t="s">
        <v>61</v>
      </c>
      <c r="M668" s="6">
        <f t="shared" si="1"/>
        <v>116.03</v>
      </c>
      <c r="N668" s="6">
        <f t="shared" si="2"/>
        <v>125.7527</v>
      </c>
      <c r="O668" s="6">
        <f t="shared" si="3"/>
        <v>9.7227</v>
      </c>
      <c r="P668" s="7">
        <f t="shared" si="4"/>
        <v>0.07731603377</v>
      </c>
      <c r="Q668" s="6" t="s">
        <v>49</v>
      </c>
      <c r="R668" s="8">
        <f t="shared" si="5"/>
        <v>23.5973</v>
      </c>
    </row>
    <row r="669" ht="14.25" customHeight="1">
      <c r="A669" s="6" t="s">
        <v>1790</v>
      </c>
      <c r="B669" s="6" t="s">
        <v>1791</v>
      </c>
      <c r="C669" s="6" t="s">
        <v>1792</v>
      </c>
      <c r="D669" s="6" t="s">
        <v>83</v>
      </c>
      <c r="E669" s="6" t="s">
        <v>53</v>
      </c>
      <c r="F669" s="6" t="s">
        <v>54</v>
      </c>
      <c r="G669" s="6">
        <v>5.0</v>
      </c>
      <c r="H669" s="6">
        <v>337.2</v>
      </c>
      <c r="I669" s="6">
        <v>450.63</v>
      </c>
      <c r="J669" s="6">
        <v>6.88</v>
      </c>
      <c r="K669" s="6" t="s">
        <v>24</v>
      </c>
      <c r="L669" s="6" t="s">
        <v>55</v>
      </c>
      <c r="M669" s="6">
        <f t="shared" si="1"/>
        <v>1686</v>
      </c>
      <c r="N669" s="6">
        <f t="shared" si="2"/>
        <v>2098.13328</v>
      </c>
      <c r="O669" s="6">
        <f t="shared" si="3"/>
        <v>412.13328</v>
      </c>
      <c r="P669" s="7">
        <f t="shared" si="4"/>
        <v>0.196428551</v>
      </c>
      <c r="Q669" s="6" t="s">
        <v>76</v>
      </c>
      <c r="R669" s="8">
        <f t="shared" si="5"/>
        <v>155.01672</v>
      </c>
    </row>
    <row r="670" ht="14.25" customHeight="1">
      <c r="A670" s="6" t="s">
        <v>1793</v>
      </c>
      <c r="B670" s="6" t="s">
        <v>1009</v>
      </c>
      <c r="C670" s="6" t="s">
        <v>1794</v>
      </c>
      <c r="D670" s="6" t="s">
        <v>21</v>
      </c>
      <c r="E670" s="6" t="s">
        <v>38</v>
      </c>
      <c r="F670" s="6" t="s">
        <v>71</v>
      </c>
      <c r="G670" s="6">
        <v>1.0</v>
      </c>
      <c r="H670" s="6">
        <v>342.22</v>
      </c>
      <c r="I670" s="6">
        <v>424.2</v>
      </c>
      <c r="J670" s="6">
        <v>15.45</v>
      </c>
      <c r="K670" s="6" t="s">
        <v>44</v>
      </c>
      <c r="L670" s="6" t="s">
        <v>33</v>
      </c>
      <c r="M670" s="6">
        <f t="shared" si="1"/>
        <v>342.22</v>
      </c>
      <c r="N670" s="6">
        <f t="shared" si="2"/>
        <v>358.6611</v>
      </c>
      <c r="O670" s="6">
        <f t="shared" si="3"/>
        <v>16.4411</v>
      </c>
      <c r="P670" s="7">
        <f t="shared" si="4"/>
        <v>0.0458402096</v>
      </c>
      <c r="Q670" s="6" t="s">
        <v>26</v>
      </c>
      <c r="R670" s="8">
        <f t="shared" si="5"/>
        <v>65.5389</v>
      </c>
    </row>
    <row r="671" ht="14.25" customHeight="1">
      <c r="A671" s="6" t="s">
        <v>1795</v>
      </c>
      <c r="B671" s="6" t="s">
        <v>1796</v>
      </c>
      <c r="C671" s="6" t="s">
        <v>1797</v>
      </c>
      <c r="D671" s="6" t="s">
        <v>30</v>
      </c>
      <c r="E671" s="6" t="s">
        <v>104</v>
      </c>
      <c r="F671" s="6" t="s">
        <v>105</v>
      </c>
      <c r="G671" s="6">
        <v>2.0</v>
      </c>
      <c r="H671" s="6">
        <v>99.4</v>
      </c>
      <c r="I671" s="6">
        <v>177.23</v>
      </c>
      <c r="J671" s="6">
        <v>12.85</v>
      </c>
      <c r="K671" s="6" t="s">
        <v>24</v>
      </c>
      <c r="L671" s="6" t="s">
        <v>55</v>
      </c>
      <c r="M671" s="6">
        <f t="shared" si="1"/>
        <v>198.8</v>
      </c>
      <c r="N671" s="6">
        <f t="shared" si="2"/>
        <v>308.91189</v>
      </c>
      <c r="O671" s="6">
        <f t="shared" si="3"/>
        <v>110.11189</v>
      </c>
      <c r="P671" s="7">
        <f t="shared" si="4"/>
        <v>0.356450799</v>
      </c>
      <c r="Q671" s="6" t="s">
        <v>26</v>
      </c>
      <c r="R671" s="8">
        <f t="shared" si="5"/>
        <v>45.54811</v>
      </c>
    </row>
    <row r="672" ht="14.25" customHeight="1">
      <c r="A672" s="6" t="s">
        <v>1798</v>
      </c>
      <c r="B672" s="6" t="s">
        <v>1161</v>
      </c>
      <c r="C672" s="6" t="s">
        <v>1799</v>
      </c>
      <c r="D672" s="6" t="s">
        <v>30</v>
      </c>
      <c r="E672" s="6" t="s">
        <v>65</v>
      </c>
      <c r="F672" s="6" t="s">
        <v>66</v>
      </c>
      <c r="G672" s="6">
        <v>5.0</v>
      </c>
      <c r="H672" s="6">
        <v>377.48</v>
      </c>
      <c r="I672" s="6">
        <v>499.71</v>
      </c>
      <c r="J672" s="6">
        <v>13.41</v>
      </c>
      <c r="K672" s="6" t="s">
        <v>24</v>
      </c>
      <c r="L672" s="6" t="s">
        <v>55</v>
      </c>
      <c r="M672" s="6">
        <f t="shared" si="1"/>
        <v>1887.4</v>
      </c>
      <c r="N672" s="6">
        <f t="shared" si="2"/>
        <v>2163.494445</v>
      </c>
      <c r="O672" s="6">
        <f t="shared" si="3"/>
        <v>276.094445</v>
      </c>
      <c r="P672" s="7">
        <f t="shared" si="4"/>
        <v>0.1276150469</v>
      </c>
      <c r="Q672" s="6" t="s">
        <v>26</v>
      </c>
      <c r="R672" s="8">
        <f t="shared" si="5"/>
        <v>335.055555</v>
      </c>
    </row>
    <row r="673" ht="14.25" customHeight="1">
      <c r="A673" s="6" t="s">
        <v>1800</v>
      </c>
      <c r="B673" s="6" t="s">
        <v>771</v>
      </c>
      <c r="C673" s="6" t="s">
        <v>1801</v>
      </c>
      <c r="D673" s="6" t="s">
        <v>83</v>
      </c>
      <c r="E673" s="6" t="s">
        <v>31</v>
      </c>
      <c r="F673" s="6" t="s">
        <v>32</v>
      </c>
      <c r="G673" s="6">
        <v>3.0</v>
      </c>
      <c r="H673" s="6">
        <v>154.2</v>
      </c>
      <c r="I673" s="6">
        <v>240.18</v>
      </c>
      <c r="J673" s="6">
        <v>14.96</v>
      </c>
      <c r="K673" s="6" t="s">
        <v>24</v>
      </c>
      <c r="L673" s="6" t="s">
        <v>25</v>
      </c>
      <c r="M673" s="6">
        <f t="shared" si="1"/>
        <v>462.6</v>
      </c>
      <c r="N673" s="6">
        <f t="shared" si="2"/>
        <v>612.747216</v>
      </c>
      <c r="O673" s="6">
        <f t="shared" si="3"/>
        <v>150.147216</v>
      </c>
      <c r="P673" s="7">
        <f t="shared" si="4"/>
        <v>0.2450394095</v>
      </c>
      <c r="Q673" s="6" t="s">
        <v>49</v>
      </c>
      <c r="R673" s="8">
        <f t="shared" si="5"/>
        <v>107.792784</v>
      </c>
    </row>
    <row r="674" ht="14.25" customHeight="1">
      <c r="A674" s="6" t="s">
        <v>1802</v>
      </c>
      <c r="B674" s="6" t="s">
        <v>179</v>
      </c>
      <c r="C674" s="6" t="s">
        <v>1803</v>
      </c>
      <c r="D674" s="6" t="s">
        <v>83</v>
      </c>
      <c r="E674" s="6" t="s">
        <v>38</v>
      </c>
      <c r="F674" s="6" t="s">
        <v>39</v>
      </c>
      <c r="G674" s="6">
        <v>5.0</v>
      </c>
      <c r="H674" s="6">
        <v>159.1</v>
      </c>
      <c r="I674" s="6">
        <v>277.13</v>
      </c>
      <c r="J674" s="6">
        <v>8.17</v>
      </c>
      <c r="K674" s="6" t="s">
        <v>24</v>
      </c>
      <c r="L674" s="6" t="s">
        <v>55</v>
      </c>
      <c r="M674" s="6">
        <f t="shared" si="1"/>
        <v>795.5</v>
      </c>
      <c r="N674" s="6">
        <f t="shared" si="2"/>
        <v>1272.442395</v>
      </c>
      <c r="O674" s="6">
        <f t="shared" si="3"/>
        <v>476.942395</v>
      </c>
      <c r="P674" s="7">
        <f t="shared" si="4"/>
        <v>0.3748243511</v>
      </c>
      <c r="Q674" s="6" t="s">
        <v>49</v>
      </c>
      <c r="R674" s="8">
        <f t="shared" si="5"/>
        <v>113.207605</v>
      </c>
    </row>
    <row r="675" ht="14.25" customHeight="1">
      <c r="A675" s="6" t="s">
        <v>1804</v>
      </c>
      <c r="B675" s="6" t="s">
        <v>377</v>
      </c>
      <c r="C675" s="6" t="s">
        <v>1805</v>
      </c>
      <c r="D675" s="6" t="s">
        <v>48</v>
      </c>
      <c r="E675" s="6" t="s">
        <v>38</v>
      </c>
      <c r="F675" s="6" t="s">
        <v>71</v>
      </c>
      <c r="G675" s="6">
        <v>8.0</v>
      </c>
      <c r="H675" s="6">
        <v>122.79</v>
      </c>
      <c r="I675" s="6">
        <v>244.14</v>
      </c>
      <c r="J675" s="6">
        <v>16.85</v>
      </c>
      <c r="K675" s="6" t="s">
        <v>44</v>
      </c>
      <c r="L675" s="6" t="s">
        <v>55</v>
      </c>
      <c r="M675" s="6">
        <f t="shared" si="1"/>
        <v>982.32</v>
      </c>
      <c r="N675" s="6">
        <f t="shared" si="2"/>
        <v>1624.01928</v>
      </c>
      <c r="O675" s="6">
        <f t="shared" si="3"/>
        <v>641.69928</v>
      </c>
      <c r="P675" s="7">
        <f t="shared" si="4"/>
        <v>0.3951303337</v>
      </c>
      <c r="Q675" s="6" t="s">
        <v>40</v>
      </c>
      <c r="R675" s="8">
        <f t="shared" si="5"/>
        <v>329.10072</v>
      </c>
    </row>
    <row r="676" ht="14.25" customHeight="1">
      <c r="A676" s="6" t="s">
        <v>1806</v>
      </c>
      <c r="B676" s="6" t="s">
        <v>1807</v>
      </c>
      <c r="C676" s="6" t="s">
        <v>1808</v>
      </c>
      <c r="D676" s="6" t="s">
        <v>30</v>
      </c>
      <c r="E676" s="6" t="s">
        <v>87</v>
      </c>
      <c r="F676" s="6" t="s">
        <v>88</v>
      </c>
      <c r="G676" s="6">
        <v>6.0</v>
      </c>
      <c r="H676" s="6">
        <v>232.09</v>
      </c>
      <c r="I676" s="6">
        <v>367.58</v>
      </c>
      <c r="J676" s="6">
        <v>4.64</v>
      </c>
      <c r="K676" s="6" t="s">
        <v>24</v>
      </c>
      <c r="L676" s="6" t="s">
        <v>33</v>
      </c>
      <c r="M676" s="6">
        <f t="shared" si="1"/>
        <v>1392.54</v>
      </c>
      <c r="N676" s="6">
        <f t="shared" si="2"/>
        <v>2103.145728</v>
      </c>
      <c r="O676" s="6">
        <f t="shared" si="3"/>
        <v>710.605728</v>
      </c>
      <c r="P676" s="7">
        <f t="shared" si="4"/>
        <v>0.337877551</v>
      </c>
      <c r="Q676" s="6" t="s">
        <v>49</v>
      </c>
      <c r="R676" s="8">
        <f t="shared" si="5"/>
        <v>102.334272</v>
      </c>
    </row>
    <row r="677" ht="14.25" customHeight="1">
      <c r="A677" s="6" t="s">
        <v>1809</v>
      </c>
      <c r="B677" s="6" t="s">
        <v>1810</v>
      </c>
      <c r="C677" s="6" t="s">
        <v>1811</v>
      </c>
      <c r="D677" s="6" t="s">
        <v>21</v>
      </c>
      <c r="E677" s="6" t="s">
        <v>87</v>
      </c>
      <c r="F677" s="6" t="s">
        <v>88</v>
      </c>
      <c r="G677" s="6">
        <v>1.0</v>
      </c>
      <c r="H677" s="6">
        <v>214.6</v>
      </c>
      <c r="I677" s="6">
        <v>383.43</v>
      </c>
      <c r="J677" s="6">
        <v>15.73</v>
      </c>
      <c r="K677" s="6" t="s">
        <v>44</v>
      </c>
      <c r="L677" s="6" t="s">
        <v>25</v>
      </c>
      <c r="M677" s="6">
        <f t="shared" si="1"/>
        <v>214.6</v>
      </c>
      <c r="N677" s="6">
        <f t="shared" si="2"/>
        <v>323.116461</v>
      </c>
      <c r="O677" s="6">
        <f t="shared" si="3"/>
        <v>108.516461</v>
      </c>
      <c r="P677" s="7">
        <f t="shared" si="4"/>
        <v>0.3358431838</v>
      </c>
      <c r="Q677" s="6" t="s">
        <v>26</v>
      </c>
      <c r="R677" s="8">
        <f t="shared" si="5"/>
        <v>60.313539</v>
      </c>
    </row>
    <row r="678" ht="14.25" customHeight="1">
      <c r="A678" s="6" t="s">
        <v>1812</v>
      </c>
      <c r="B678" s="6" t="s">
        <v>774</v>
      </c>
      <c r="C678" s="6" t="s">
        <v>1813</v>
      </c>
      <c r="D678" s="6" t="s">
        <v>30</v>
      </c>
      <c r="E678" s="6" t="s">
        <v>104</v>
      </c>
      <c r="F678" s="6" t="s">
        <v>105</v>
      </c>
      <c r="G678" s="6">
        <v>8.0</v>
      </c>
      <c r="H678" s="6">
        <v>89.47</v>
      </c>
      <c r="I678" s="6">
        <v>155.67</v>
      </c>
      <c r="J678" s="6">
        <v>14.21</v>
      </c>
      <c r="K678" s="6" t="s">
        <v>24</v>
      </c>
      <c r="L678" s="6" t="s">
        <v>61</v>
      </c>
      <c r="M678" s="6">
        <f t="shared" si="1"/>
        <v>715.76</v>
      </c>
      <c r="N678" s="6">
        <f t="shared" si="2"/>
        <v>1068.394344</v>
      </c>
      <c r="O678" s="6">
        <f t="shared" si="3"/>
        <v>352.634344</v>
      </c>
      <c r="P678" s="7">
        <f t="shared" si="4"/>
        <v>0.3300601</v>
      </c>
      <c r="Q678" s="6" t="s">
        <v>34</v>
      </c>
      <c r="R678" s="8">
        <f t="shared" si="5"/>
        <v>176.965656</v>
      </c>
    </row>
    <row r="679" ht="14.25" customHeight="1">
      <c r="A679" s="6" t="s">
        <v>1814</v>
      </c>
      <c r="B679" s="6" t="s">
        <v>871</v>
      </c>
      <c r="C679" s="6" t="s">
        <v>1815</v>
      </c>
      <c r="D679" s="6" t="s">
        <v>21</v>
      </c>
      <c r="E679" s="6" t="s">
        <v>38</v>
      </c>
      <c r="F679" s="6" t="s">
        <v>71</v>
      </c>
      <c r="G679" s="6">
        <v>8.0</v>
      </c>
      <c r="H679" s="6">
        <v>239.12</v>
      </c>
      <c r="I679" s="6">
        <v>328.26</v>
      </c>
      <c r="J679" s="6">
        <v>10.13</v>
      </c>
      <c r="K679" s="6" t="s">
        <v>44</v>
      </c>
      <c r="L679" s="6" t="s">
        <v>55</v>
      </c>
      <c r="M679" s="6">
        <f t="shared" si="1"/>
        <v>1912.96</v>
      </c>
      <c r="N679" s="6">
        <f t="shared" si="2"/>
        <v>2360.058096</v>
      </c>
      <c r="O679" s="6">
        <f t="shared" si="3"/>
        <v>447.098096</v>
      </c>
      <c r="P679" s="7">
        <f t="shared" si="4"/>
        <v>0.1894436822</v>
      </c>
      <c r="Q679" s="6" t="s">
        <v>34</v>
      </c>
      <c r="R679" s="8">
        <f t="shared" si="5"/>
        <v>266.021904</v>
      </c>
    </row>
    <row r="680" ht="14.25" customHeight="1">
      <c r="A680" s="6" t="s">
        <v>1816</v>
      </c>
      <c r="B680" s="6" t="s">
        <v>217</v>
      </c>
      <c r="C680" s="6" t="s">
        <v>1817</v>
      </c>
      <c r="D680" s="6" t="s">
        <v>48</v>
      </c>
      <c r="E680" s="6" t="s">
        <v>38</v>
      </c>
      <c r="F680" s="6" t="s">
        <v>39</v>
      </c>
      <c r="G680" s="6">
        <v>5.0</v>
      </c>
      <c r="H680" s="6">
        <v>386.23</v>
      </c>
      <c r="I680" s="6">
        <v>531.05</v>
      </c>
      <c r="J680" s="6">
        <v>5.78</v>
      </c>
      <c r="K680" s="6" t="s">
        <v>44</v>
      </c>
      <c r="L680" s="6" t="s">
        <v>55</v>
      </c>
      <c r="M680" s="6">
        <f t="shared" si="1"/>
        <v>1931.15</v>
      </c>
      <c r="N680" s="6">
        <f t="shared" si="2"/>
        <v>2501.77655</v>
      </c>
      <c r="O680" s="6">
        <f t="shared" si="3"/>
        <v>570.62655</v>
      </c>
      <c r="P680" s="7">
        <f t="shared" si="4"/>
        <v>0.2280885357</v>
      </c>
      <c r="Q680" s="6" t="s">
        <v>34</v>
      </c>
      <c r="R680" s="8">
        <f t="shared" si="5"/>
        <v>153.47345</v>
      </c>
    </row>
    <row r="681" ht="14.25" customHeight="1">
      <c r="A681" s="6" t="s">
        <v>1818</v>
      </c>
      <c r="B681" s="6" t="s">
        <v>1819</v>
      </c>
      <c r="C681" s="6" t="s">
        <v>1820</v>
      </c>
      <c r="D681" s="6" t="s">
        <v>70</v>
      </c>
      <c r="E681" s="6" t="s">
        <v>38</v>
      </c>
      <c r="F681" s="6" t="s">
        <v>71</v>
      </c>
      <c r="G681" s="6">
        <v>8.0</v>
      </c>
      <c r="H681" s="6">
        <v>207.05</v>
      </c>
      <c r="I681" s="6">
        <v>271.66</v>
      </c>
      <c r="J681" s="6">
        <v>6.55</v>
      </c>
      <c r="K681" s="6" t="s">
        <v>24</v>
      </c>
      <c r="L681" s="6" t="s">
        <v>25</v>
      </c>
      <c r="M681" s="6">
        <f t="shared" si="1"/>
        <v>1656.4</v>
      </c>
      <c r="N681" s="6">
        <f t="shared" si="2"/>
        <v>2030.93016</v>
      </c>
      <c r="O681" s="6">
        <f t="shared" si="3"/>
        <v>374.53016</v>
      </c>
      <c r="P681" s="7">
        <f t="shared" si="4"/>
        <v>0.1844131164</v>
      </c>
      <c r="Q681" s="6" t="s">
        <v>76</v>
      </c>
      <c r="R681" s="8">
        <f t="shared" si="5"/>
        <v>142.34984</v>
      </c>
    </row>
    <row r="682" ht="14.25" customHeight="1">
      <c r="A682" s="6" t="s">
        <v>1821</v>
      </c>
      <c r="B682" s="6" t="s">
        <v>1522</v>
      </c>
      <c r="C682" s="6" t="s">
        <v>1822</v>
      </c>
      <c r="D682" s="6" t="s">
        <v>64</v>
      </c>
      <c r="E682" s="6" t="s">
        <v>65</v>
      </c>
      <c r="F682" s="6" t="s">
        <v>75</v>
      </c>
      <c r="G682" s="6">
        <v>5.0</v>
      </c>
      <c r="H682" s="6">
        <v>236.67</v>
      </c>
      <c r="I682" s="6">
        <v>395.41</v>
      </c>
      <c r="J682" s="6">
        <v>23.17</v>
      </c>
      <c r="K682" s="6" t="s">
        <v>44</v>
      </c>
      <c r="L682" s="6" t="s">
        <v>61</v>
      </c>
      <c r="M682" s="6">
        <f t="shared" si="1"/>
        <v>1183.35</v>
      </c>
      <c r="N682" s="6">
        <f t="shared" si="2"/>
        <v>1518.967515</v>
      </c>
      <c r="O682" s="6">
        <f t="shared" si="3"/>
        <v>335.617515</v>
      </c>
      <c r="P682" s="7">
        <f t="shared" si="4"/>
        <v>0.2209510814</v>
      </c>
      <c r="Q682" s="6" t="s">
        <v>76</v>
      </c>
      <c r="R682" s="8">
        <f t="shared" si="5"/>
        <v>458.082485</v>
      </c>
    </row>
    <row r="683" ht="14.25" customHeight="1">
      <c r="A683" s="6" t="s">
        <v>1823</v>
      </c>
      <c r="B683" s="6" t="s">
        <v>1824</v>
      </c>
      <c r="C683" s="6" t="s">
        <v>1825</v>
      </c>
      <c r="D683" s="6" t="s">
        <v>70</v>
      </c>
      <c r="E683" s="6" t="s">
        <v>38</v>
      </c>
      <c r="F683" s="6" t="s">
        <v>71</v>
      </c>
      <c r="G683" s="6">
        <v>6.0</v>
      </c>
      <c r="H683" s="6">
        <v>207.34</v>
      </c>
      <c r="I683" s="6">
        <v>276.05</v>
      </c>
      <c r="J683" s="6">
        <v>18.4</v>
      </c>
      <c r="K683" s="6" t="s">
        <v>24</v>
      </c>
      <c r="L683" s="6" t="s">
        <v>33</v>
      </c>
      <c r="M683" s="6">
        <f t="shared" si="1"/>
        <v>1244.04</v>
      </c>
      <c r="N683" s="6">
        <f t="shared" si="2"/>
        <v>1351.5408</v>
      </c>
      <c r="O683" s="6">
        <f t="shared" si="3"/>
        <v>107.5008</v>
      </c>
      <c r="P683" s="7">
        <f t="shared" si="4"/>
        <v>0.07953944121</v>
      </c>
      <c r="Q683" s="6" t="s">
        <v>76</v>
      </c>
      <c r="R683" s="8">
        <f t="shared" si="5"/>
        <v>304.7592</v>
      </c>
    </row>
    <row r="684" ht="14.25" customHeight="1">
      <c r="A684" s="6" t="s">
        <v>1826</v>
      </c>
      <c r="B684" s="6" t="s">
        <v>1827</v>
      </c>
      <c r="C684" s="6" t="s">
        <v>1828</v>
      </c>
      <c r="D684" s="6" t="s">
        <v>70</v>
      </c>
      <c r="E684" s="6" t="s">
        <v>59</v>
      </c>
      <c r="F684" s="6" t="s">
        <v>60</v>
      </c>
      <c r="G684" s="6">
        <v>6.0</v>
      </c>
      <c r="H684" s="6">
        <v>64.09</v>
      </c>
      <c r="I684" s="6">
        <v>107.64</v>
      </c>
      <c r="J684" s="6">
        <v>2.45</v>
      </c>
      <c r="K684" s="6" t="s">
        <v>24</v>
      </c>
      <c r="L684" s="6" t="s">
        <v>33</v>
      </c>
      <c r="M684" s="6">
        <f t="shared" si="1"/>
        <v>384.54</v>
      </c>
      <c r="N684" s="6">
        <f t="shared" si="2"/>
        <v>630.01692</v>
      </c>
      <c r="O684" s="6">
        <f t="shared" si="3"/>
        <v>245.47692</v>
      </c>
      <c r="P684" s="7">
        <f t="shared" si="4"/>
        <v>0.3896354403</v>
      </c>
      <c r="Q684" s="6" t="s">
        <v>40</v>
      </c>
      <c r="R684" s="8">
        <f t="shared" si="5"/>
        <v>15.82308</v>
      </c>
    </row>
    <row r="685" ht="14.25" customHeight="1">
      <c r="A685" s="6" t="s">
        <v>1829</v>
      </c>
      <c r="B685" s="6" t="s">
        <v>1830</v>
      </c>
      <c r="C685" s="6" t="s">
        <v>1831</v>
      </c>
      <c r="D685" s="6" t="s">
        <v>64</v>
      </c>
      <c r="E685" s="6" t="s">
        <v>38</v>
      </c>
      <c r="F685" s="6" t="s">
        <v>39</v>
      </c>
      <c r="G685" s="6">
        <v>4.0</v>
      </c>
      <c r="H685" s="6">
        <v>215.14</v>
      </c>
      <c r="I685" s="6">
        <v>304.49</v>
      </c>
      <c r="J685" s="6">
        <v>15.63</v>
      </c>
      <c r="K685" s="6" t="s">
        <v>24</v>
      </c>
      <c r="L685" s="6" t="s">
        <v>61</v>
      </c>
      <c r="M685" s="6">
        <f t="shared" si="1"/>
        <v>860.56</v>
      </c>
      <c r="N685" s="6">
        <f t="shared" si="2"/>
        <v>1027.592852</v>
      </c>
      <c r="O685" s="6">
        <f t="shared" si="3"/>
        <v>167.032852</v>
      </c>
      <c r="P685" s="7">
        <f t="shared" si="4"/>
        <v>0.1625476974</v>
      </c>
      <c r="Q685" s="6" t="s">
        <v>26</v>
      </c>
      <c r="R685" s="8">
        <f t="shared" si="5"/>
        <v>190.367148</v>
      </c>
    </row>
    <row r="686" ht="14.25" customHeight="1">
      <c r="A686" s="6" t="s">
        <v>1832</v>
      </c>
      <c r="B686" s="6" t="s">
        <v>1833</v>
      </c>
      <c r="C686" s="6" t="s">
        <v>1834</v>
      </c>
      <c r="D686" s="6" t="s">
        <v>21</v>
      </c>
      <c r="E686" s="6" t="s">
        <v>65</v>
      </c>
      <c r="F686" s="6" t="s">
        <v>75</v>
      </c>
      <c r="G686" s="6">
        <v>7.0</v>
      </c>
      <c r="H686" s="6">
        <v>93.51</v>
      </c>
      <c r="I686" s="6">
        <v>142.01</v>
      </c>
      <c r="J686" s="6">
        <v>15.04</v>
      </c>
      <c r="K686" s="6" t="s">
        <v>44</v>
      </c>
      <c r="L686" s="6" t="s">
        <v>55</v>
      </c>
      <c r="M686" s="6">
        <f t="shared" si="1"/>
        <v>654.57</v>
      </c>
      <c r="N686" s="6">
        <f t="shared" si="2"/>
        <v>844.561872</v>
      </c>
      <c r="O686" s="6">
        <f t="shared" si="3"/>
        <v>189.991872</v>
      </c>
      <c r="P686" s="7">
        <f t="shared" si="4"/>
        <v>0.2249590922</v>
      </c>
      <c r="Q686" s="6" t="s">
        <v>49</v>
      </c>
      <c r="R686" s="8">
        <f t="shared" si="5"/>
        <v>149.508128</v>
      </c>
    </row>
    <row r="687" ht="14.25" customHeight="1">
      <c r="A687" s="6" t="s">
        <v>1835</v>
      </c>
      <c r="B687" s="6" t="s">
        <v>1147</v>
      </c>
      <c r="C687" s="6" t="s">
        <v>1836</v>
      </c>
      <c r="D687" s="6" t="s">
        <v>70</v>
      </c>
      <c r="E687" s="6" t="s">
        <v>104</v>
      </c>
      <c r="F687" s="6" t="s">
        <v>105</v>
      </c>
      <c r="G687" s="6">
        <v>6.0</v>
      </c>
      <c r="H687" s="6">
        <v>374.98</v>
      </c>
      <c r="I687" s="6">
        <v>586.69</v>
      </c>
      <c r="J687" s="6">
        <v>5.31</v>
      </c>
      <c r="K687" s="6" t="s">
        <v>24</v>
      </c>
      <c r="L687" s="6" t="s">
        <v>55</v>
      </c>
      <c r="M687" s="6">
        <f t="shared" si="1"/>
        <v>2249.88</v>
      </c>
      <c r="N687" s="6">
        <f t="shared" si="2"/>
        <v>3333.220566</v>
      </c>
      <c r="O687" s="6">
        <f t="shared" si="3"/>
        <v>1083.340566</v>
      </c>
      <c r="P687" s="7">
        <f t="shared" si="4"/>
        <v>0.3250131651</v>
      </c>
      <c r="Q687" s="6" t="s">
        <v>49</v>
      </c>
      <c r="R687" s="8">
        <f t="shared" si="5"/>
        <v>186.919434</v>
      </c>
    </row>
    <row r="688" ht="14.25" customHeight="1">
      <c r="A688" s="6" t="s">
        <v>1837</v>
      </c>
      <c r="B688" s="6" t="s">
        <v>344</v>
      </c>
      <c r="C688" s="6" t="s">
        <v>1838</v>
      </c>
      <c r="D688" s="6" t="s">
        <v>48</v>
      </c>
      <c r="E688" s="6" t="s">
        <v>87</v>
      </c>
      <c r="F688" s="6" t="s">
        <v>88</v>
      </c>
      <c r="G688" s="6">
        <v>4.0</v>
      </c>
      <c r="H688" s="6">
        <v>273.42</v>
      </c>
      <c r="I688" s="6">
        <v>440.63</v>
      </c>
      <c r="J688" s="6">
        <v>3.22</v>
      </c>
      <c r="K688" s="6" t="s">
        <v>24</v>
      </c>
      <c r="L688" s="6" t="s">
        <v>33</v>
      </c>
      <c r="M688" s="6">
        <f t="shared" si="1"/>
        <v>1093.68</v>
      </c>
      <c r="N688" s="6">
        <f t="shared" si="2"/>
        <v>1705.766856</v>
      </c>
      <c r="O688" s="6">
        <f t="shared" si="3"/>
        <v>612.086856</v>
      </c>
      <c r="P688" s="7">
        <f t="shared" si="4"/>
        <v>0.3588338312</v>
      </c>
      <c r="Q688" s="6" t="s">
        <v>49</v>
      </c>
      <c r="R688" s="8">
        <f t="shared" si="5"/>
        <v>56.753144</v>
      </c>
    </row>
    <row r="689" ht="14.25" customHeight="1">
      <c r="A689" s="6" t="s">
        <v>1839</v>
      </c>
      <c r="B689" s="6" t="s">
        <v>36</v>
      </c>
      <c r="C689" s="6" t="s">
        <v>1840</v>
      </c>
      <c r="D689" s="6" t="s">
        <v>70</v>
      </c>
      <c r="E689" s="6" t="s">
        <v>38</v>
      </c>
      <c r="F689" s="6" t="s">
        <v>71</v>
      </c>
      <c r="G689" s="6">
        <v>2.0</v>
      </c>
      <c r="H689" s="6">
        <v>322.87</v>
      </c>
      <c r="I689" s="6">
        <v>447.24</v>
      </c>
      <c r="J689" s="6">
        <v>2.13</v>
      </c>
      <c r="K689" s="6" t="s">
        <v>44</v>
      </c>
      <c r="L689" s="6" t="s">
        <v>61</v>
      </c>
      <c r="M689" s="6">
        <f t="shared" si="1"/>
        <v>645.74</v>
      </c>
      <c r="N689" s="6">
        <f t="shared" si="2"/>
        <v>875.427576</v>
      </c>
      <c r="O689" s="6">
        <f t="shared" si="3"/>
        <v>229.687576</v>
      </c>
      <c r="P689" s="7">
        <f t="shared" si="4"/>
        <v>0.2623718767</v>
      </c>
      <c r="Q689" s="6" t="s">
        <v>26</v>
      </c>
      <c r="R689" s="8">
        <f t="shared" si="5"/>
        <v>19.052424</v>
      </c>
    </row>
    <row r="690" ht="14.25" customHeight="1">
      <c r="A690" s="6" t="s">
        <v>1841</v>
      </c>
      <c r="B690" s="6" t="s">
        <v>985</v>
      </c>
      <c r="C690" s="6" t="s">
        <v>1842</v>
      </c>
      <c r="D690" s="6" t="s">
        <v>70</v>
      </c>
      <c r="E690" s="6" t="s">
        <v>59</v>
      </c>
      <c r="F690" s="6" t="s">
        <v>60</v>
      </c>
      <c r="G690" s="6">
        <v>4.0</v>
      </c>
      <c r="H690" s="6">
        <v>124.18</v>
      </c>
      <c r="I690" s="6">
        <v>173.38</v>
      </c>
      <c r="J690" s="6">
        <v>10.8</v>
      </c>
      <c r="K690" s="6" t="s">
        <v>44</v>
      </c>
      <c r="L690" s="6" t="s">
        <v>25</v>
      </c>
      <c r="M690" s="6">
        <f t="shared" si="1"/>
        <v>496.72</v>
      </c>
      <c r="N690" s="6">
        <f t="shared" si="2"/>
        <v>618.61984</v>
      </c>
      <c r="O690" s="6">
        <f t="shared" si="3"/>
        <v>121.89984</v>
      </c>
      <c r="P690" s="7">
        <f t="shared" si="4"/>
        <v>0.1970512941</v>
      </c>
      <c r="Q690" s="6" t="s">
        <v>34</v>
      </c>
      <c r="R690" s="8">
        <f t="shared" si="5"/>
        <v>74.90016</v>
      </c>
    </row>
    <row r="691" ht="14.25" customHeight="1">
      <c r="A691" s="6" t="s">
        <v>1843</v>
      </c>
      <c r="B691" s="6" t="s">
        <v>1844</v>
      </c>
      <c r="C691" s="6" t="s">
        <v>1845</v>
      </c>
      <c r="D691" s="6" t="s">
        <v>70</v>
      </c>
      <c r="E691" s="6" t="s">
        <v>104</v>
      </c>
      <c r="F691" s="6" t="s">
        <v>105</v>
      </c>
      <c r="G691" s="6">
        <v>6.0</v>
      </c>
      <c r="H691" s="6">
        <v>243.66</v>
      </c>
      <c r="I691" s="6">
        <v>420.79</v>
      </c>
      <c r="J691" s="6">
        <v>21.97</v>
      </c>
      <c r="K691" s="6" t="s">
        <v>44</v>
      </c>
      <c r="L691" s="6" t="s">
        <v>61</v>
      </c>
      <c r="M691" s="6">
        <f t="shared" si="1"/>
        <v>1461.96</v>
      </c>
      <c r="N691" s="6">
        <f t="shared" si="2"/>
        <v>1970.054622</v>
      </c>
      <c r="O691" s="6">
        <f t="shared" si="3"/>
        <v>508.094622</v>
      </c>
      <c r="P691" s="7">
        <f t="shared" si="4"/>
        <v>0.2579089008</v>
      </c>
      <c r="Q691" s="6" t="s">
        <v>76</v>
      </c>
      <c r="R691" s="8">
        <f t="shared" si="5"/>
        <v>554.685378</v>
      </c>
    </row>
    <row r="692" ht="14.25" customHeight="1">
      <c r="A692" s="6" t="s">
        <v>1846</v>
      </c>
      <c r="B692" s="6" t="s">
        <v>580</v>
      </c>
      <c r="C692" s="6" t="s">
        <v>1847</v>
      </c>
      <c r="D692" s="6" t="s">
        <v>21</v>
      </c>
      <c r="E692" s="6" t="s">
        <v>53</v>
      </c>
      <c r="F692" s="6" t="s">
        <v>54</v>
      </c>
      <c r="G692" s="6">
        <v>2.0</v>
      </c>
      <c r="H692" s="6">
        <v>230.13</v>
      </c>
      <c r="I692" s="6">
        <v>305.08</v>
      </c>
      <c r="J692" s="6">
        <v>12.05</v>
      </c>
      <c r="K692" s="6" t="s">
        <v>44</v>
      </c>
      <c r="L692" s="6" t="s">
        <v>25</v>
      </c>
      <c r="M692" s="6">
        <f t="shared" si="1"/>
        <v>460.26</v>
      </c>
      <c r="N692" s="6">
        <f t="shared" si="2"/>
        <v>536.63572</v>
      </c>
      <c r="O692" s="6">
        <f t="shared" si="3"/>
        <v>76.37572</v>
      </c>
      <c r="P692" s="7">
        <f t="shared" si="4"/>
        <v>0.1423232132</v>
      </c>
      <c r="Q692" s="6" t="s">
        <v>76</v>
      </c>
      <c r="R692" s="8">
        <f t="shared" si="5"/>
        <v>73.52428</v>
      </c>
    </row>
    <row r="693" ht="14.25" customHeight="1">
      <c r="A693" s="6" t="s">
        <v>1848</v>
      </c>
      <c r="B693" s="6" t="s">
        <v>1849</v>
      </c>
      <c r="C693" s="6" t="s">
        <v>1850</v>
      </c>
      <c r="D693" s="6" t="s">
        <v>30</v>
      </c>
      <c r="E693" s="6" t="s">
        <v>38</v>
      </c>
      <c r="F693" s="6" t="s">
        <v>71</v>
      </c>
      <c r="G693" s="6">
        <v>6.0</v>
      </c>
      <c r="H693" s="6">
        <v>261.02</v>
      </c>
      <c r="I693" s="6">
        <v>368.19</v>
      </c>
      <c r="J693" s="6">
        <v>19.61</v>
      </c>
      <c r="K693" s="6" t="s">
        <v>24</v>
      </c>
      <c r="L693" s="6" t="s">
        <v>61</v>
      </c>
      <c r="M693" s="6">
        <f t="shared" si="1"/>
        <v>1566.12</v>
      </c>
      <c r="N693" s="6">
        <f t="shared" si="2"/>
        <v>1775.927646</v>
      </c>
      <c r="O693" s="6">
        <f t="shared" si="3"/>
        <v>209.807646</v>
      </c>
      <c r="P693" s="7">
        <f t="shared" si="4"/>
        <v>0.1181397488</v>
      </c>
      <c r="Q693" s="6" t="s">
        <v>34</v>
      </c>
      <c r="R693" s="8">
        <f t="shared" si="5"/>
        <v>433.212354</v>
      </c>
    </row>
    <row r="694" ht="14.25" customHeight="1">
      <c r="A694" s="6" t="s">
        <v>1851</v>
      </c>
      <c r="B694" s="6" t="s">
        <v>544</v>
      </c>
      <c r="C694" s="6" t="s">
        <v>1852</v>
      </c>
      <c r="D694" s="6" t="s">
        <v>70</v>
      </c>
      <c r="E694" s="6" t="s">
        <v>104</v>
      </c>
      <c r="F694" s="6" t="s">
        <v>105</v>
      </c>
      <c r="G694" s="6">
        <v>2.0</v>
      </c>
      <c r="H694" s="6">
        <v>241.34</v>
      </c>
      <c r="I694" s="6">
        <v>288.4</v>
      </c>
      <c r="J694" s="6">
        <v>6.8</v>
      </c>
      <c r="K694" s="6" t="s">
        <v>24</v>
      </c>
      <c r="L694" s="6" t="s">
        <v>61</v>
      </c>
      <c r="M694" s="6">
        <f t="shared" si="1"/>
        <v>482.68</v>
      </c>
      <c r="N694" s="6">
        <f t="shared" si="2"/>
        <v>537.5776</v>
      </c>
      <c r="O694" s="6">
        <f t="shared" si="3"/>
        <v>54.8976</v>
      </c>
      <c r="P694" s="7">
        <f t="shared" si="4"/>
        <v>0.1021203264</v>
      </c>
      <c r="Q694" s="6" t="s">
        <v>76</v>
      </c>
      <c r="R694" s="8">
        <f t="shared" si="5"/>
        <v>39.2224</v>
      </c>
    </row>
    <row r="695" ht="14.25" customHeight="1">
      <c r="A695" s="6" t="s">
        <v>1853</v>
      </c>
      <c r="B695" s="6" t="s">
        <v>1854</v>
      </c>
      <c r="C695" s="6" t="s">
        <v>1855</v>
      </c>
      <c r="D695" s="6" t="s">
        <v>30</v>
      </c>
      <c r="E695" s="6" t="s">
        <v>65</v>
      </c>
      <c r="F695" s="6" t="s">
        <v>66</v>
      </c>
      <c r="G695" s="6">
        <v>1.0</v>
      </c>
      <c r="H695" s="6">
        <v>188.91</v>
      </c>
      <c r="I695" s="6">
        <v>295.75</v>
      </c>
      <c r="J695" s="6">
        <v>9.35</v>
      </c>
      <c r="K695" s="6" t="s">
        <v>24</v>
      </c>
      <c r="L695" s="6" t="s">
        <v>33</v>
      </c>
      <c r="M695" s="6">
        <f t="shared" si="1"/>
        <v>188.91</v>
      </c>
      <c r="N695" s="6">
        <f t="shared" si="2"/>
        <v>268.097375</v>
      </c>
      <c r="O695" s="6">
        <f t="shared" si="3"/>
        <v>79.187375</v>
      </c>
      <c r="P695" s="7">
        <f t="shared" si="4"/>
        <v>0.295367961</v>
      </c>
      <c r="Q695" s="6" t="s">
        <v>49</v>
      </c>
      <c r="R695" s="8">
        <f t="shared" si="5"/>
        <v>27.652625</v>
      </c>
    </row>
    <row r="696" ht="14.25" customHeight="1">
      <c r="A696" s="6" t="s">
        <v>1856</v>
      </c>
      <c r="B696" s="6" t="s">
        <v>1857</v>
      </c>
      <c r="C696" s="6" t="s">
        <v>1858</v>
      </c>
      <c r="D696" s="6" t="s">
        <v>48</v>
      </c>
      <c r="E696" s="6" t="s">
        <v>65</v>
      </c>
      <c r="F696" s="6" t="s">
        <v>66</v>
      </c>
      <c r="G696" s="6">
        <v>7.0</v>
      </c>
      <c r="H696" s="6">
        <v>413.08</v>
      </c>
      <c r="I696" s="6">
        <v>584.77</v>
      </c>
      <c r="J696" s="6">
        <v>13.84</v>
      </c>
      <c r="K696" s="6" t="s">
        <v>24</v>
      </c>
      <c r="L696" s="6" t="s">
        <v>61</v>
      </c>
      <c r="M696" s="6">
        <f t="shared" si="1"/>
        <v>2891.56</v>
      </c>
      <c r="N696" s="6">
        <f t="shared" si="2"/>
        <v>3526.864824</v>
      </c>
      <c r="O696" s="6">
        <f t="shared" si="3"/>
        <v>635.304824</v>
      </c>
      <c r="P696" s="7">
        <f t="shared" si="4"/>
        <v>0.1801330234</v>
      </c>
      <c r="Q696" s="6" t="s">
        <v>26</v>
      </c>
      <c r="R696" s="8">
        <f t="shared" si="5"/>
        <v>566.525176</v>
      </c>
    </row>
    <row r="697" ht="14.25" customHeight="1">
      <c r="A697" s="6" t="s">
        <v>1859</v>
      </c>
      <c r="B697" s="6" t="s">
        <v>1860</v>
      </c>
      <c r="C697" s="6" t="s">
        <v>1861</v>
      </c>
      <c r="D697" s="6" t="s">
        <v>48</v>
      </c>
      <c r="E697" s="6" t="s">
        <v>38</v>
      </c>
      <c r="F697" s="6" t="s">
        <v>39</v>
      </c>
      <c r="G697" s="6">
        <v>4.0</v>
      </c>
      <c r="H697" s="6">
        <v>223.29</v>
      </c>
      <c r="I697" s="6">
        <v>349.73</v>
      </c>
      <c r="J697" s="6">
        <v>18.38</v>
      </c>
      <c r="K697" s="6" t="s">
        <v>44</v>
      </c>
      <c r="L697" s="6" t="s">
        <v>33</v>
      </c>
      <c r="M697" s="6">
        <f t="shared" si="1"/>
        <v>893.16</v>
      </c>
      <c r="N697" s="6">
        <f t="shared" si="2"/>
        <v>1141.798504</v>
      </c>
      <c r="O697" s="6">
        <f t="shared" si="3"/>
        <v>248.638504</v>
      </c>
      <c r="P697" s="7">
        <f t="shared" si="4"/>
        <v>0.2177604044</v>
      </c>
      <c r="Q697" s="6" t="s">
        <v>40</v>
      </c>
      <c r="R697" s="8">
        <f t="shared" si="5"/>
        <v>257.121496</v>
      </c>
    </row>
    <row r="698" ht="14.25" customHeight="1">
      <c r="A698" s="6" t="s">
        <v>1862</v>
      </c>
      <c r="B698" s="6" t="s">
        <v>532</v>
      </c>
      <c r="C698" s="6" t="s">
        <v>1863</v>
      </c>
      <c r="D698" s="6" t="s">
        <v>21</v>
      </c>
      <c r="E698" s="6" t="s">
        <v>31</v>
      </c>
      <c r="F698" s="6" t="s">
        <v>32</v>
      </c>
      <c r="G698" s="6">
        <v>8.0</v>
      </c>
      <c r="H698" s="6">
        <v>323.25</v>
      </c>
      <c r="I698" s="6">
        <v>545.34</v>
      </c>
      <c r="J698" s="6">
        <v>16.05</v>
      </c>
      <c r="K698" s="6" t="s">
        <v>24</v>
      </c>
      <c r="L698" s="6" t="s">
        <v>61</v>
      </c>
      <c r="M698" s="6">
        <f t="shared" si="1"/>
        <v>2586</v>
      </c>
      <c r="N698" s="6">
        <f t="shared" si="2"/>
        <v>3662.50344</v>
      </c>
      <c r="O698" s="6">
        <f t="shared" si="3"/>
        <v>1076.50344</v>
      </c>
      <c r="P698" s="7">
        <f t="shared" si="4"/>
        <v>0.2939255779</v>
      </c>
      <c r="Q698" s="6" t="s">
        <v>40</v>
      </c>
      <c r="R698" s="8">
        <f t="shared" si="5"/>
        <v>700.21656</v>
      </c>
    </row>
    <row r="699" ht="14.25" customHeight="1">
      <c r="A699" s="6" t="s">
        <v>1864</v>
      </c>
      <c r="B699" s="6" t="s">
        <v>968</v>
      </c>
      <c r="C699" s="6" t="s">
        <v>1865</v>
      </c>
      <c r="D699" s="6" t="s">
        <v>21</v>
      </c>
      <c r="E699" s="6" t="s">
        <v>65</v>
      </c>
      <c r="F699" s="6" t="s">
        <v>75</v>
      </c>
      <c r="G699" s="6">
        <v>6.0</v>
      </c>
      <c r="H699" s="6">
        <v>335.1</v>
      </c>
      <c r="I699" s="6">
        <v>404.2</v>
      </c>
      <c r="J699" s="6">
        <v>1.0</v>
      </c>
      <c r="K699" s="6" t="s">
        <v>44</v>
      </c>
      <c r="L699" s="6" t="s">
        <v>25</v>
      </c>
      <c r="M699" s="6">
        <f t="shared" si="1"/>
        <v>2010.6</v>
      </c>
      <c r="N699" s="6">
        <f t="shared" si="2"/>
        <v>2400.948</v>
      </c>
      <c r="O699" s="6">
        <f t="shared" si="3"/>
        <v>390.348</v>
      </c>
      <c r="P699" s="7">
        <f t="shared" si="4"/>
        <v>0.1625807806</v>
      </c>
      <c r="Q699" s="6" t="s">
        <v>76</v>
      </c>
      <c r="R699" s="8">
        <f t="shared" si="5"/>
        <v>24.252</v>
      </c>
    </row>
    <row r="700" ht="14.25" customHeight="1">
      <c r="A700" s="6" t="s">
        <v>1866</v>
      </c>
      <c r="B700" s="6" t="s">
        <v>1015</v>
      </c>
      <c r="C700" s="6" t="s">
        <v>1867</v>
      </c>
      <c r="D700" s="6" t="s">
        <v>64</v>
      </c>
      <c r="E700" s="6" t="s">
        <v>65</v>
      </c>
      <c r="F700" s="6" t="s">
        <v>75</v>
      </c>
      <c r="G700" s="6">
        <v>2.0</v>
      </c>
      <c r="H700" s="6">
        <v>219.69</v>
      </c>
      <c r="I700" s="6">
        <v>378.98</v>
      </c>
      <c r="J700" s="6">
        <v>6.47</v>
      </c>
      <c r="K700" s="6" t="s">
        <v>24</v>
      </c>
      <c r="L700" s="6" t="s">
        <v>61</v>
      </c>
      <c r="M700" s="6">
        <f t="shared" si="1"/>
        <v>439.38</v>
      </c>
      <c r="N700" s="6">
        <f t="shared" si="2"/>
        <v>708.919988</v>
      </c>
      <c r="O700" s="6">
        <f t="shared" si="3"/>
        <v>269.539988</v>
      </c>
      <c r="P700" s="7">
        <f t="shared" si="4"/>
        <v>0.3802121432</v>
      </c>
      <c r="Q700" s="6" t="s">
        <v>40</v>
      </c>
      <c r="R700" s="8">
        <f t="shared" si="5"/>
        <v>49.040012</v>
      </c>
    </row>
    <row r="701" ht="14.25" customHeight="1">
      <c r="A701" s="6" t="s">
        <v>1868</v>
      </c>
      <c r="B701" s="6" t="s">
        <v>917</v>
      </c>
      <c r="C701" s="6" t="s">
        <v>1869</v>
      </c>
      <c r="D701" s="6" t="s">
        <v>64</v>
      </c>
      <c r="E701" s="6" t="s">
        <v>65</v>
      </c>
      <c r="F701" s="6" t="s">
        <v>66</v>
      </c>
      <c r="G701" s="6">
        <v>2.0</v>
      </c>
      <c r="H701" s="6">
        <v>348.32</v>
      </c>
      <c r="I701" s="6">
        <v>512.67</v>
      </c>
      <c r="J701" s="6">
        <v>12.24</v>
      </c>
      <c r="K701" s="6" t="s">
        <v>24</v>
      </c>
      <c r="L701" s="6" t="s">
        <v>61</v>
      </c>
      <c r="M701" s="6">
        <f t="shared" si="1"/>
        <v>696.64</v>
      </c>
      <c r="N701" s="6">
        <f t="shared" si="2"/>
        <v>899.838384</v>
      </c>
      <c r="O701" s="6">
        <f t="shared" si="3"/>
        <v>203.198384</v>
      </c>
      <c r="P701" s="7">
        <f t="shared" si="4"/>
        <v>0.2258165328</v>
      </c>
      <c r="Q701" s="6" t="s">
        <v>49</v>
      </c>
      <c r="R701" s="8">
        <f t="shared" si="5"/>
        <v>125.501616</v>
      </c>
    </row>
    <row r="702" ht="14.25" customHeight="1">
      <c r="A702" s="6" t="s">
        <v>1870</v>
      </c>
      <c r="B702" s="6" t="s">
        <v>368</v>
      </c>
      <c r="C702" s="6" t="s">
        <v>1871</v>
      </c>
      <c r="D702" s="6" t="s">
        <v>64</v>
      </c>
      <c r="E702" s="6" t="s">
        <v>59</v>
      </c>
      <c r="F702" s="6" t="s">
        <v>60</v>
      </c>
      <c r="G702" s="6">
        <v>1.0</v>
      </c>
      <c r="H702" s="6">
        <v>170.71</v>
      </c>
      <c r="I702" s="6">
        <v>241.62</v>
      </c>
      <c r="J702" s="6">
        <v>4.75</v>
      </c>
      <c r="K702" s="6" t="s">
        <v>24</v>
      </c>
      <c r="L702" s="6" t="s">
        <v>55</v>
      </c>
      <c r="M702" s="6">
        <f t="shared" si="1"/>
        <v>170.71</v>
      </c>
      <c r="N702" s="6">
        <f t="shared" si="2"/>
        <v>230.14305</v>
      </c>
      <c r="O702" s="6">
        <f t="shared" si="3"/>
        <v>59.43305</v>
      </c>
      <c r="P702" s="7">
        <f t="shared" si="4"/>
        <v>0.2582439487</v>
      </c>
      <c r="Q702" s="6" t="s">
        <v>76</v>
      </c>
      <c r="R702" s="8">
        <f t="shared" si="5"/>
        <v>11.47695</v>
      </c>
    </row>
    <row r="703" ht="14.25" customHeight="1">
      <c r="A703" s="6" t="s">
        <v>1872</v>
      </c>
      <c r="B703" s="6" t="s">
        <v>1873</v>
      </c>
      <c r="C703" s="6" t="s">
        <v>1874</v>
      </c>
      <c r="D703" s="6" t="s">
        <v>64</v>
      </c>
      <c r="E703" s="6" t="s">
        <v>87</v>
      </c>
      <c r="F703" s="6" t="s">
        <v>88</v>
      </c>
      <c r="G703" s="6">
        <v>5.0</v>
      </c>
      <c r="H703" s="6">
        <v>88.8</v>
      </c>
      <c r="I703" s="6">
        <v>140.81</v>
      </c>
      <c r="J703" s="6">
        <v>3.53</v>
      </c>
      <c r="K703" s="6" t="s">
        <v>44</v>
      </c>
      <c r="L703" s="6" t="s">
        <v>61</v>
      </c>
      <c r="M703" s="6">
        <f t="shared" si="1"/>
        <v>444</v>
      </c>
      <c r="N703" s="6">
        <f t="shared" si="2"/>
        <v>679.197035</v>
      </c>
      <c r="O703" s="6">
        <f t="shared" si="3"/>
        <v>235.197035</v>
      </c>
      <c r="P703" s="7">
        <f t="shared" si="4"/>
        <v>0.3462868989</v>
      </c>
      <c r="Q703" s="6" t="s">
        <v>34</v>
      </c>
      <c r="R703" s="8">
        <f t="shared" si="5"/>
        <v>24.852965</v>
      </c>
    </row>
    <row r="704" ht="14.25" customHeight="1">
      <c r="A704" s="6" t="s">
        <v>1875</v>
      </c>
      <c r="B704" s="6" t="s">
        <v>1876</v>
      </c>
      <c r="C704" s="6" t="s">
        <v>1877</v>
      </c>
      <c r="D704" s="6" t="s">
        <v>70</v>
      </c>
      <c r="E704" s="6" t="s">
        <v>22</v>
      </c>
      <c r="F704" s="6" t="s">
        <v>23</v>
      </c>
      <c r="G704" s="6">
        <v>3.0</v>
      </c>
      <c r="H704" s="6">
        <v>112.5</v>
      </c>
      <c r="I704" s="6">
        <v>211.01</v>
      </c>
      <c r="J704" s="6">
        <v>8.11</v>
      </c>
      <c r="K704" s="6" t="s">
        <v>44</v>
      </c>
      <c r="L704" s="6" t="s">
        <v>55</v>
      </c>
      <c r="M704" s="6">
        <f t="shared" si="1"/>
        <v>337.5</v>
      </c>
      <c r="N704" s="6">
        <f t="shared" si="2"/>
        <v>581.691267</v>
      </c>
      <c r="O704" s="6">
        <f t="shared" si="3"/>
        <v>244.191267</v>
      </c>
      <c r="P704" s="7">
        <f t="shared" si="4"/>
        <v>0.4197953121</v>
      </c>
      <c r="Q704" s="6" t="s">
        <v>76</v>
      </c>
      <c r="R704" s="8">
        <f t="shared" si="5"/>
        <v>51.338733</v>
      </c>
    </row>
    <row r="705" ht="14.25" customHeight="1">
      <c r="A705" s="6" t="s">
        <v>1878</v>
      </c>
      <c r="B705" s="6" t="s">
        <v>777</v>
      </c>
      <c r="C705" s="6" t="s">
        <v>1879</v>
      </c>
      <c r="D705" s="6" t="s">
        <v>30</v>
      </c>
      <c r="E705" s="6" t="s">
        <v>38</v>
      </c>
      <c r="F705" s="6" t="s">
        <v>39</v>
      </c>
      <c r="G705" s="6">
        <v>4.0</v>
      </c>
      <c r="H705" s="6">
        <v>79.09</v>
      </c>
      <c r="I705" s="6">
        <v>93.19</v>
      </c>
      <c r="J705" s="6">
        <v>5.96</v>
      </c>
      <c r="K705" s="6" t="s">
        <v>24</v>
      </c>
      <c r="L705" s="6" t="s">
        <v>61</v>
      </c>
      <c r="M705" s="6">
        <f t="shared" si="1"/>
        <v>316.36</v>
      </c>
      <c r="N705" s="6">
        <f t="shared" si="2"/>
        <v>350.543504</v>
      </c>
      <c r="O705" s="6">
        <f t="shared" si="3"/>
        <v>34.183504</v>
      </c>
      <c r="P705" s="7">
        <f t="shared" si="4"/>
        <v>0.09751572518</v>
      </c>
      <c r="Q705" s="6" t="s">
        <v>26</v>
      </c>
      <c r="R705" s="8">
        <f t="shared" si="5"/>
        <v>22.216496</v>
      </c>
    </row>
    <row r="706" ht="14.25" customHeight="1">
      <c r="A706" s="6" t="s">
        <v>1880</v>
      </c>
      <c r="B706" s="6" t="s">
        <v>1881</v>
      </c>
      <c r="C706" s="6" t="s">
        <v>1882</v>
      </c>
      <c r="D706" s="6" t="s">
        <v>83</v>
      </c>
      <c r="E706" s="6" t="s">
        <v>65</v>
      </c>
      <c r="F706" s="6" t="s">
        <v>75</v>
      </c>
      <c r="G706" s="6">
        <v>3.0</v>
      </c>
      <c r="H706" s="6">
        <v>214.96</v>
      </c>
      <c r="I706" s="6">
        <v>277.6</v>
      </c>
      <c r="J706" s="6">
        <v>3.86</v>
      </c>
      <c r="K706" s="6" t="s">
        <v>24</v>
      </c>
      <c r="L706" s="6" t="s">
        <v>25</v>
      </c>
      <c r="M706" s="6">
        <f t="shared" si="1"/>
        <v>644.88</v>
      </c>
      <c r="N706" s="6">
        <f t="shared" si="2"/>
        <v>800.65392</v>
      </c>
      <c r="O706" s="6">
        <f t="shared" si="3"/>
        <v>155.77392</v>
      </c>
      <c r="P706" s="7">
        <f t="shared" si="4"/>
        <v>0.194558368</v>
      </c>
      <c r="Q706" s="6" t="s">
        <v>49</v>
      </c>
      <c r="R706" s="8">
        <f t="shared" si="5"/>
        <v>32.14608</v>
      </c>
    </row>
    <row r="707" ht="14.25" customHeight="1">
      <c r="A707" s="6" t="s">
        <v>1883</v>
      </c>
      <c r="B707" s="6" t="s">
        <v>417</v>
      </c>
      <c r="C707" s="6" t="s">
        <v>1884</v>
      </c>
      <c r="D707" s="6" t="s">
        <v>64</v>
      </c>
      <c r="E707" s="6" t="s">
        <v>38</v>
      </c>
      <c r="F707" s="6" t="s">
        <v>39</v>
      </c>
      <c r="G707" s="6">
        <v>7.0</v>
      </c>
      <c r="H707" s="6">
        <v>272.25</v>
      </c>
      <c r="I707" s="6">
        <v>328.03</v>
      </c>
      <c r="J707" s="6">
        <v>7.47</v>
      </c>
      <c r="K707" s="6" t="s">
        <v>44</v>
      </c>
      <c r="L707" s="6" t="s">
        <v>61</v>
      </c>
      <c r="M707" s="6">
        <f t="shared" si="1"/>
        <v>1905.75</v>
      </c>
      <c r="N707" s="6">
        <f t="shared" si="2"/>
        <v>2124.683113</v>
      </c>
      <c r="O707" s="6">
        <f t="shared" si="3"/>
        <v>218.933113</v>
      </c>
      <c r="P707" s="7">
        <f t="shared" si="4"/>
        <v>0.1030427134</v>
      </c>
      <c r="Q707" s="6" t="s">
        <v>76</v>
      </c>
      <c r="R707" s="8">
        <f t="shared" si="5"/>
        <v>171.526887</v>
      </c>
    </row>
    <row r="708" ht="14.25" customHeight="1">
      <c r="A708" s="6" t="s">
        <v>1885</v>
      </c>
      <c r="B708" s="6" t="s">
        <v>638</v>
      </c>
      <c r="C708" s="6" t="s">
        <v>1886</v>
      </c>
      <c r="D708" s="6" t="s">
        <v>83</v>
      </c>
      <c r="E708" s="6" t="s">
        <v>87</v>
      </c>
      <c r="F708" s="6" t="s">
        <v>88</v>
      </c>
      <c r="G708" s="6">
        <v>7.0</v>
      </c>
      <c r="H708" s="6">
        <v>306.29</v>
      </c>
      <c r="I708" s="6">
        <v>549.27</v>
      </c>
      <c r="J708" s="6">
        <v>0.05</v>
      </c>
      <c r="K708" s="6" t="s">
        <v>24</v>
      </c>
      <c r="L708" s="6" t="s">
        <v>55</v>
      </c>
      <c r="M708" s="6">
        <f t="shared" si="1"/>
        <v>2144.03</v>
      </c>
      <c r="N708" s="6">
        <f t="shared" si="2"/>
        <v>3842.967555</v>
      </c>
      <c r="O708" s="6">
        <f t="shared" si="3"/>
        <v>1698.937555</v>
      </c>
      <c r="P708" s="7">
        <f t="shared" si="4"/>
        <v>0.4420900074</v>
      </c>
      <c r="Q708" s="6" t="s">
        <v>34</v>
      </c>
      <c r="R708" s="8">
        <f t="shared" si="5"/>
        <v>1.922445</v>
      </c>
    </row>
    <row r="709" ht="14.25" customHeight="1">
      <c r="A709" s="6" t="s">
        <v>1887</v>
      </c>
      <c r="B709" s="6" t="s">
        <v>322</v>
      </c>
      <c r="C709" s="6" t="s">
        <v>1888</v>
      </c>
      <c r="D709" s="6" t="s">
        <v>64</v>
      </c>
      <c r="E709" s="6" t="s">
        <v>65</v>
      </c>
      <c r="F709" s="6" t="s">
        <v>75</v>
      </c>
      <c r="G709" s="6">
        <v>2.0</v>
      </c>
      <c r="H709" s="6">
        <v>389.22</v>
      </c>
      <c r="I709" s="6">
        <v>578.73</v>
      </c>
      <c r="J709" s="6">
        <v>16.69</v>
      </c>
      <c r="K709" s="6" t="s">
        <v>44</v>
      </c>
      <c r="L709" s="6" t="s">
        <v>61</v>
      </c>
      <c r="M709" s="6">
        <f t="shared" si="1"/>
        <v>778.44</v>
      </c>
      <c r="N709" s="6">
        <f t="shared" si="2"/>
        <v>964.279926</v>
      </c>
      <c r="O709" s="6">
        <f t="shared" si="3"/>
        <v>185.839926</v>
      </c>
      <c r="P709" s="7">
        <f t="shared" si="4"/>
        <v>0.1927240431</v>
      </c>
      <c r="Q709" s="6" t="s">
        <v>34</v>
      </c>
      <c r="R709" s="8">
        <f t="shared" si="5"/>
        <v>193.180074</v>
      </c>
    </row>
    <row r="710" ht="14.25" customHeight="1">
      <c r="A710" s="6" t="s">
        <v>1889</v>
      </c>
      <c r="B710" s="6" t="s">
        <v>1890</v>
      </c>
      <c r="C710" s="6" t="s">
        <v>1891</v>
      </c>
      <c r="D710" s="6" t="s">
        <v>48</v>
      </c>
      <c r="E710" s="6" t="s">
        <v>104</v>
      </c>
      <c r="F710" s="6" t="s">
        <v>105</v>
      </c>
      <c r="G710" s="6">
        <v>7.0</v>
      </c>
      <c r="H710" s="6">
        <v>274.46</v>
      </c>
      <c r="I710" s="6">
        <v>369.01</v>
      </c>
      <c r="J710" s="6">
        <v>12.22</v>
      </c>
      <c r="K710" s="6" t="s">
        <v>44</v>
      </c>
      <c r="L710" s="6" t="s">
        <v>25</v>
      </c>
      <c r="M710" s="6">
        <f t="shared" si="1"/>
        <v>1921.22</v>
      </c>
      <c r="N710" s="6">
        <f t="shared" si="2"/>
        <v>2267.418846</v>
      </c>
      <c r="O710" s="6">
        <f t="shared" si="3"/>
        <v>346.198846</v>
      </c>
      <c r="P710" s="7">
        <f t="shared" si="4"/>
        <v>0.1526841177</v>
      </c>
      <c r="Q710" s="6" t="s">
        <v>26</v>
      </c>
      <c r="R710" s="8">
        <f t="shared" si="5"/>
        <v>315.651154</v>
      </c>
    </row>
    <row r="711" ht="14.25" customHeight="1">
      <c r="A711" s="6" t="s">
        <v>1892</v>
      </c>
      <c r="B711" s="6" t="s">
        <v>1893</v>
      </c>
      <c r="C711" s="6" t="s">
        <v>1894</v>
      </c>
      <c r="D711" s="6" t="s">
        <v>83</v>
      </c>
      <c r="E711" s="6" t="s">
        <v>38</v>
      </c>
      <c r="F711" s="6" t="s">
        <v>71</v>
      </c>
      <c r="G711" s="6">
        <v>4.0</v>
      </c>
      <c r="H711" s="6">
        <v>334.5</v>
      </c>
      <c r="I711" s="6">
        <v>525.98</v>
      </c>
      <c r="J711" s="6">
        <v>22.74</v>
      </c>
      <c r="K711" s="6" t="s">
        <v>24</v>
      </c>
      <c r="L711" s="6" t="s">
        <v>25</v>
      </c>
      <c r="M711" s="6">
        <f t="shared" si="1"/>
        <v>1338</v>
      </c>
      <c r="N711" s="6">
        <f t="shared" si="2"/>
        <v>1625.488592</v>
      </c>
      <c r="O711" s="6">
        <f t="shared" si="3"/>
        <v>287.488592</v>
      </c>
      <c r="P711" s="7">
        <f t="shared" si="4"/>
        <v>0.1768628789</v>
      </c>
      <c r="Q711" s="6" t="s">
        <v>76</v>
      </c>
      <c r="R711" s="8">
        <f t="shared" si="5"/>
        <v>478.431408</v>
      </c>
    </row>
    <row r="712" ht="14.25" customHeight="1">
      <c r="A712" s="6" t="s">
        <v>1895</v>
      </c>
      <c r="B712" s="6" t="s">
        <v>1482</v>
      </c>
      <c r="C712" s="6" t="s">
        <v>1896</v>
      </c>
      <c r="D712" s="6" t="s">
        <v>30</v>
      </c>
      <c r="E712" s="6" t="s">
        <v>59</v>
      </c>
      <c r="F712" s="6" t="s">
        <v>60</v>
      </c>
      <c r="G712" s="6">
        <v>4.0</v>
      </c>
      <c r="H712" s="6">
        <v>235.03</v>
      </c>
      <c r="I712" s="6">
        <v>368.98</v>
      </c>
      <c r="J712" s="6">
        <v>15.41</v>
      </c>
      <c r="K712" s="6" t="s">
        <v>24</v>
      </c>
      <c r="L712" s="6" t="s">
        <v>33</v>
      </c>
      <c r="M712" s="6">
        <f t="shared" si="1"/>
        <v>940.12</v>
      </c>
      <c r="N712" s="6">
        <f t="shared" si="2"/>
        <v>1248.480728</v>
      </c>
      <c r="O712" s="6">
        <f t="shared" si="3"/>
        <v>308.360728</v>
      </c>
      <c r="P712" s="7">
        <f t="shared" si="4"/>
        <v>0.2469887769</v>
      </c>
      <c r="Q712" s="6" t="s">
        <v>34</v>
      </c>
      <c r="R712" s="8">
        <f t="shared" si="5"/>
        <v>227.439272</v>
      </c>
    </row>
    <row r="713" ht="14.25" customHeight="1">
      <c r="A713" s="6" t="s">
        <v>1897</v>
      </c>
      <c r="B713" s="6" t="s">
        <v>929</v>
      </c>
      <c r="C713" s="6" t="s">
        <v>1898</v>
      </c>
      <c r="D713" s="6" t="s">
        <v>83</v>
      </c>
      <c r="E713" s="6" t="s">
        <v>65</v>
      </c>
      <c r="F713" s="6" t="s">
        <v>66</v>
      </c>
      <c r="G713" s="6">
        <v>5.0</v>
      </c>
      <c r="H713" s="6">
        <v>160.92</v>
      </c>
      <c r="I713" s="6">
        <v>229.65</v>
      </c>
      <c r="J713" s="6">
        <v>13.58</v>
      </c>
      <c r="K713" s="6" t="s">
        <v>44</v>
      </c>
      <c r="L713" s="6" t="s">
        <v>55</v>
      </c>
      <c r="M713" s="6">
        <f t="shared" si="1"/>
        <v>804.6</v>
      </c>
      <c r="N713" s="6">
        <f t="shared" si="2"/>
        <v>992.31765</v>
      </c>
      <c r="O713" s="6">
        <f t="shared" si="3"/>
        <v>187.71765</v>
      </c>
      <c r="P713" s="7">
        <f t="shared" si="4"/>
        <v>0.1891709273</v>
      </c>
      <c r="Q713" s="6" t="s">
        <v>49</v>
      </c>
      <c r="R713" s="8">
        <f t="shared" si="5"/>
        <v>155.93235</v>
      </c>
    </row>
    <row r="714" ht="14.25" customHeight="1">
      <c r="A714" s="6" t="s">
        <v>1899</v>
      </c>
      <c r="B714" s="6" t="s">
        <v>441</v>
      </c>
      <c r="C714" s="6" t="s">
        <v>1900</v>
      </c>
      <c r="D714" s="6" t="s">
        <v>64</v>
      </c>
      <c r="E714" s="6" t="s">
        <v>38</v>
      </c>
      <c r="F714" s="6" t="s">
        <v>39</v>
      </c>
      <c r="G714" s="6">
        <v>3.0</v>
      </c>
      <c r="H714" s="6">
        <v>74.67</v>
      </c>
      <c r="I714" s="6">
        <v>125.16</v>
      </c>
      <c r="J714" s="6">
        <v>9.99</v>
      </c>
      <c r="K714" s="6" t="s">
        <v>44</v>
      </c>
      <c r="L714" s="6" t="s">
        <v>25</v>
      </c>
      <c r="M714" s="6">
        <f t="shared" si="1"/>
        <v>224.01</v>
      </c>
      <c r="N714" s="6">
        <f t="shared" si="2"/>
        <v>337.969548</v>
      </c>
      <c r="O714" s="6">
        <f t="shared" si="3"/>
        <v>113.959548</v>
      </c>
      <c r="P714" s="7">
        <f t="shared" si="4"/>
        <v>0.337188805</v>
      </c>
      <c r="Q714" s="6" t="s">
        <v>49</v>
      </c>
      <c r="R714" s="8">
        <f t="shared" si="5"/>
        <v>37.510452</v>
      </c>
    </row>
    <row r="715" ht="14.25" customHeight="1">
      <c r="A715" s="6" t="s">
        <v>1901</v>
      </c>
      <c r="B715" s="6" t="s">
        <v>303</v>
      </c>
      <c r="C715" s="6" t="s">
        <v>1902</v>
      </c>
      <c r="D715" s="6" t="s">
        <v>83</v>
      </c>
      <c r="E715" s="6" t="s">
        <v>53</v>
      </c>
      <c r="F715" s="6" t="s">
        <v>54</v>
      </c>
      <c r="G715" s="6">
        <v>4.0</v>
      </c>
      <c r="H715" s="6">
        <v>174.13</v>
      </c>
      <c r="I715" s="6">
        <v>318.09</v>
      </c>
      <c r="J715" s="6">
        <v>0.17</v>
      </c>
      <c r="K715" s="6" t="s">
        <v>24</v>
      </c>
      <c r="L715" s="6" t="s">
        <v>55</v>
      </c>
      <c r="M715" s="6">
        <f t="shared" si="1"/>
        <v>696.52</v>
      </c>
      <c r="N715" s="6">
        <f t="shared" si="2"/>
        <v>1270.196988</v>
      </c>
      <c r="O715" s="6">
        <f t="shared" si="3"/>
        <v>573.676988</v>
      </c>
      <c r="P715" s="7">
        <f t="shared" si="4"/>
        <v>0.4516441099</v>
      </c>
      <c r="Q715" s="6" t="s">
        <v>34</v>
      </c>
      <c r="R715" s="8">
        <f t="shared" si="5"/>
        <v>2.163012</v>
      </c>
    </row>
    <row r="716" ht="14.25" customHeight="1">
      <c r="A716" s="6" t="s">
        <v>1903</v>
      </c>
      <c r="B716" s="6" t="s">
        <v>139</v>
      </c>
      <c r="C716" s="6" t="s">
        <v>1904</v>
      </c>
      <c r="D716" s="6" t="s">
        <v>83</v>
      </c>
      <c r="E716" s="6" t="s">
        <v>65</v>
      </c>
      <c r="F716" s="6" t="s">
        <v>66</v>
      </c>
      <c r="G716" s="6">
        <v>1.0</v>
      </c>
      <c r="H716" s="6">
        <v>76.03</v>
      </c>
      <c r="I716" s="6">
        <v>130.8</v>
      </c>
      <c r="J716" s="6">
        <v>1.9</v>
      </c>
      <c r="K716" s="6" t="s">
        <v>44</v>
      </c>
      <c r="L716" s="6" t="s">
        <v>55</v>
      </c>
      <c r="M716" s="6">
        <f t="shared" si="1"/>
        <v>76.03</v>
      </c>
      <c r="N716" s="6">
        <f t="shared" si="2"/>
        <v>128.3148</v>
      </c>
      <c r="O716" s="6">
        <f t="shared" si="3"/>
        <v>52.2848</v>
      </c>
      <c r="P716" s="7">
        <f t="shared" si="4"/>
        <v>0.4074728714</v>
      </c>
      <c r="Q716" s="6" t="s">
        <v>34</v>
      </c>
      <c r="R716" s="8">
        <f t="shared" si="5"/>
        <v>2.4852</v>
      </c>
    </row>
    <row r="717" ht="14.25" customHeight="1">
      <c r="A717" s="6" t="s">
        <v>1905</v>
      </c>
      <c r="B717" s="6" t="s">
        <v>1906</v>
      </c>
      <c r="C717" s="6" t="s">
        <v>1907</v>
      </c>
      <c r="D717" s="6" t="s">
        <v>64</v>
      </c>
      <c r="E717" s="6" t="s">
        <v>22</v>
      </c>
      <c r="F717" s="6" t="s">
        <v>23</v>
      </c>
      <c r="G717" s="6">
        <v>8.0</v>
      </c>
      <c r="H717" s="6">
        <v>77.0</v>
      </c>
      <c r="I717" s="6">
        <v>136.74</v>
      </c>
      <c r="J717" s="6">
        <v>2.71</v>
      </c>
      <c r="K717" s="6" t="s">
        <v>44</v>
      </c>
      <c r="L717" s="6" t="s">
        <v>61</v>
      </c>
      <c r="M717" s="6">
        <f t="shared" si="1"/>
        <v>616</v>
      </c>
      <c r="N717" s="6">
        <f t="shared" si="2"/>
        <v>1064.274768</v>
      </c>
      <c r="O717" s="6">
        <f t="shared" si="3"/>
        <v>448.274768</v>
      </c>
      <c r="P717" s="7">
        <f t="shared" si="4"/>
        <v>0.4212021007</v>
      </c>
      <c r="Q717" s="6" t="s">
        <v>40</v>
      </c>
      <c r="R717" s="8">
        <f t="shared" si="5"/>
        <v>29.645232</v>
      </c>
    </row>
    <row r="718" ht="14.25" customHeight="1">
      <c r="A718" s="6" t="s">
        <v>1908</v>
      </c>
      <c r="B718" s="6" t="s">
        <v>322</v>
      </c>
      <c r="C718" s="6" t="s">
        <v>1909</v>
      </c>
      <c r="D718" s="6" t="s">
        <v>64</v>
      </c>
      <c r="E718" s="6" t="s">
        <v>38</v>
      </c>
      <c r="F718" s="6" t="s">
        <v>39</v>
      </c>
      <c r="G718" s="6">
        <v>1.0</v>
      </c>
      <c r="H718" s="6">
        <v>366.28</v>
      </c>
      <c r="I718" s="6">
        <v>493.08</v>
      </c>
      <c r="J718" s="6">
        <v>18.52</v>
      </c>
      <c r="K718" s="6" t="s">
        <v>44</v>
      </c>
      <c r="L718" s="6" t="s">
        <v>33</v>
      </c>
      <c r="M718" s="6">
        <f t="shared" si="1"/>
        <v>366.28</v>
      </c>
      <c r="N718" s="6">
        <f t="shared" si="2"/>
        <v>401.761584</v>
      </c>
      <c r="O718" s="6">
        <f t="shared" si="3"/>
        <v>35.481584</v>
      </c>
      <c r="P718" s="7">
        <f t="shared" si="4"/>
        <v>0.08831502417</v>
      </c>
      <c r="Q718" s="6" t="s">
        <v>34</v>
      </c>
      <c r="R718" s="8">
        <f t="shared" si="5"/>
        <v>91.318416</v>
      </c>
    </row>
    <row r="719" ht="14.25" customHeight="1">
      <c r="A719" s="6" t="s">
        <v>1910</v>
      </c>
      <c r="B719" s="6" t="s">
        <v>1911</v>
      </c>
      <c r="C719" s="6" t="s">
        <v>1912</v>
      </c>
      <c r="D719" s="6" t="s">
        <v>70</v>
      </c>
      <c r="E719" s="6" t="s">
        <v>22</v>
      </c>
      <c r="F719" s="6" t="s">
        <v>23</v>
      </c>
      <c r="G719" s="6">
        <v>8.0</v>
      </c>
      <c r="H719" s="6">
        <v>128.73</v>
      </c>
      <c r="I719" s="6">
        <v>211.96</v>
      </c>
      <c r="J719" s="6">
        <v>8.61</v>
      </c>
      <c r="K719" s="6" t="s">
        <v>44</v>
      </c>
      <c r="L719" s="6" t="s">
        <v>25</v>
      </c>
      <c r="M719" s="6">
        <f t="shared" si="1"/>
        <v>1029.84</v>
      </c>
      <c r="N719" s="6">
        <f t="shared" si="2"/>
        <v>1549.681952</v>
      </c>
      <c r="O719" s="6">
        <f t="shared" si="3"/>
        <v>519.841952</v>
      </c>
      <c r="P719" s="7">
        <f t="shared" si="4"/>
        <v>0.3354507364</v>
      </c>
      <c r="Q719" s="6" t="s">
        <v>76</v>
      </c>
      <c r="R719" s="8">
        <f t="shared" si="5"/>
        <v>145.998048</v>
      </c>
    </row>
    <row r="720" ht="14.25" customHeight="1">
      <c r="A720" s="6" t="s">
        <v>1913</v>
      </c>
      <c r="B720" s="6" t="s">
        <v>1367</v>
      </c>
      <c r="C720" s="6" t="s">
        <v>1914</v>
      </c>
      <c r="D720" s="6" t="s">
        <v>30</v>
      </c>
      <c r="E720" s="6" t="s">
        <v>38</v>
      </c>
      <c r="F720" s="6" t="s">
        <v>71</v>
      </c>
      <c r="G720" s="6">
        <v>7.0</v>
      </c>
      <c r="H720" s="6">
        <v>75.51</v>
      </c>
      <c r="I720" s="6">
        <v>128.13</v>
      </c>
      <c r="J720" s="6">
        <v>6.0</v>
      </c>
      <c r="K720" s="6" t="s">
        <v>44</v>
      </c>
      <c r="L720" s="6" t="s">
        <v>33</v>
      </c>
      <c r="M720" s="6">
        <f t="shared" si="1"/>
        <v>528.57</v>
      </c>
      <c r="N720" s="6">
        <f t="shared" si="2"/>
        <v>843.0954</v>
      </c>
      <c r="O720" s="6">
        <f t="shared" si="3"/>
        <v>314.5254</v>
      </c>
      <c r="P720" s="7">
        <f t="shared" si="4"/>
        <v>0.3730602729</v>
      </c>
      <c r="Q720" s="6" t="s">
        <v>76</v>
      </c>
      <c r="R720" s="8">
        <f t="shared" si="5"/>
        <v>53.8146</v>
      </c>
    </row>
    <row r="721" ht="14.25" customHeight="1">
      <c r="A721" s="6" t="s">
        <v>1915</v>
      </c>
      <c r="B721" s="6" t="s">
        <v>1916</v>
      </c>
      <c r="C721" s="6" t="s">
        <v>1917</v>
      </c>
      <c r="D721" s="6" t="s">
        <v>70</v>
      </c>
      <c r="E721" s="6" t="s">
        <v>22</v>
      </c>
      <c r="F721" s="6" t="s">
        <v>23</v>
      </c>
      <c r="G721" s="6">
        <v>1.0</v>
      </c>
      <c r="H721" s="6">
        <v>263.18</v>
      </c>
      <c r="I721" s="6">
        <v>444.43</v>
      </c>
      <c r="J721" s="6">
        <v>7.18</v>
      </c>
      <c r="K721" s="6" t="s">
        <v>24</v>
      </c>
      <c r="L721" s="6" t="s">
        <v>25</v>
      </c>
      <c r="M721" s="6">
        <f t="shared" si="1"/>
        <v>263.18</v>
      </c>
      <c r="N721" s="6">
        <f t="shared" si="2"/>
        <v>412.519926</v>
      </c>
      <c r="O721" s="6">
        <f t="shared" si="3"/>
        <v>149.339926</v>
      </c>
      <c r="P721" s="7">
        <f t="shared" si="4"/>
        <v>0.3620186968</v>
      </c>
      <c r="Q721" s="6" t="s">
        <v>26</v>
      </c>
      <c r="R721" s="8">
        <f t="shared" si="5"/>
        <v>31.910074</v>
      </c>
    </row>
    <row r="722" ht="14.25" customHeight="1">
      <c r="A722" s="6" t="s">
        <v>1918</v>
      </c>
      <c r="B722" s="6" t="s">
        <v>1919</v>
      </c>
      <c r="C722" s="6" t="s">
        <v>1920</v>
      </c>
      <c r="D722" s="6" t="s">
        <v>30</v>
      </c>
      <c r="E722" s="6" t="s">
        <v>31</v>
      </c>
      <c r="F722" s="6" t="s">
        <v>32</v>
      </c>
      <c r="G722" s="6">
        <v>6.0</v>
      </c>
      <c r="H722" s="6">
        <v>154.38</v>
      </c>
      <c r="I722" s="6">
        <v>209.34</v>
      </c>
      <c r="J722" s="6">
        <v>9.66</v>
      </c>
      <c r="K722" s="6" t="s">
        <v>24</v>
      </c>
      <c r="L722" s="6" t="s">
        <v>55</v>
      </c>
      <c r="M722" s="6">
        <f t="shared" si="1"/>
        <v>926.28</v>
      </c>
      <c r="N722" s="6">
        <f t="shared" si="2"/>
        <v>1134.706536</v>
      </c>
      <c r="O722" s="6">
        <f t="shared" si="3"/>
        <v>208.426536</v>
      </c>
      <c r="P722" s="7">
        <f t="shared" si="4"/>
        <v>0.1836832074</v>
      </c>
      <c r="Q722" s="6" t="s">
        <v>26</v>
      </c>
      <c r="R722" s="8">
        <f t="shared" si="5"/>
        <v>121.333464</v>
      </c>
    </row>
    <row r="723" ht="14.25" customHeight="1">
      <c r="A723" s="6" t="s">
        <v>1921</v>
      </c>
      <c r="B723" s="6" t="s">
        <v>1893</v>
      </c>
      <c r="C723" s="6" t="s">
        <v>1922</v>
      </c>
      <c r="D723" s="6" t="s">
        <v>48</v>
      </c>
      <c r="E723" s="6" t="s">
        <v>31</v>
      </c>
      <c r="F723" s="6" t="s">
        <v>32</v>
      </c>
      <c r="G723" s="6">
        <v>5.0</v>
      </c>
      <c r="H723" s="6">
        <v>156.58</v>
      </c>
      <c r="I723" s="6">
        <v>184.89</v>
      </c>
      <c r="J723" s="6">
        <v>11.14</v>
      </c>
      <c r="K723" s="6" t="s">
        <v>44</v>
      </c>
      <c r="L723" s="6" t="s">
        <v>55</v>
      </c>
      <c r="M723" s="6">
        <f t="shared" si="1"/>
        <v>782.9</v>
      </c>
      <c r="N723" s="6">
        <f t="shared" si="2"/>
        <v>821.46627</v>
      </c>
      <c r="O723" s="6">
        <f t="shared" si="3"/>
        <v>38.56627</v>
      </c>
      <c r="P723" s="7">
        <f t="shared" si="4"/>
        <v>0.04694808711</v>
      </c>
      <c r="Q723" s="6" t="s">
        <v>26</v>
      </c>
      <c r="R723" s="8">
        <f t="shared" si="5"/>
        <v>102.98373</v>
      </c>
    </row>
    <row r="724" ht="14.25" customHeight="1">
      <c r="A724" s="6" t="s">
        <v>1923</v>
      </c>
      <c r="B724" s="6" t="s">
        <v>237</v>
      </c>
      <c r="C724" s="6" t="s">
        <v>1924</v>
      </c>
      <c r="D724" s="6" t="s">
        <v>48</v>
      </c>
      <c r="E724" s="6" t="s">
        <v>22</v>
      </c>
      <c r="F724" s="6" t="s">
        <v>23</v>
      </c>
      <c r="G724" s="6">
        <v>8.0</v>
      </c>
      <c r="H724" s="6">
        <v>371.94</v>
      </c>
      <c r="I724" s="6">
        <v>495.91</v>
      </c>
      <c r="J724" s="6">
        <v>8.12</v>
      </c>
      <c r="K724" s="6" t="s">
        <v>24</v>
      </c>
      <c r="L724" s="6" t="s">
        <v>33</v>
      </c>
      <c r="M724" s="6">
        <f t="shared" si="1"/>
        <v>2975.52</v>
      </c>
      <c r="N724" s="6">
        <f t="shared" si="2"/>
        <v>3645.136864</v>
      </c>
      <c r="O724" s="6">
        <f t="shared" si="3"/>
        <v>669.616864</v>
      </c>
      <c r="P724" s="7">
        <f t="shared" si="4"/>
        <v>0.1837014326</v>
      </c>
      <c r="Q724" s="6" t="s">
        <v>49</v>
      </c>
      <c r="R724" s="8">
        <f t="shared" si="5"/>
        <v>322.143136</v>
      </c>
    </row>
    <row r="725" ht="14.25" customHeight="1">
      <c r="A725" s="6" t="s">
        <v>1925</v>
      </c>
      <c r="B725" s="6" t="s">
        <v>1926</v>
      </c>
      <c r="C725" s="6" t="s">
        <v>1927</v>
      </c>
      <c r="D725" s="6" t="s">
        <v>70</v>
      </c>
      <c r="E725" s="6" t="s">
        <v>65</v>
      </c>
      <c r="F725" s="6" t="s">
        <v>66</v>
      </c>
      <c r="G725" s="6">
        <v>8.0</v>
      </c>
      <c r="H725" s="6">
        <v>304.37</v>
      </c>
      <c r="I725" s="6">
        <v>452.14</v>
      </c>
      <c r="J725" s="6">
        <v>6.71</v>
      </c>
      <c r="K725" s="6" t="s">
        <v>44</v>
      </c>
      <c r="L725" s="6" t="s">
        <v>33</v>
      </c>
      <c r="M725" s="6">
        <f t="shared" si="1"/>
        <v>2434.96</v>
      </c>
      <c r="N725" s="6">
        <f t="shared" si="2"/>
        <v>3374.411248</v>
      </c>
      <c r="O725" s="6">
        <f t="shared" si="3"/>
        <v>939.451248</v>
      </c>
      <c r="P725" s="7">
        <f t="shared" si="4"/>
        <v>0.2784044916</v>
      </c>
      <c r="Q725" s="6" t="s">
        <v>76</v>
      </c>
      <c r="R725" s="8">
        <f t="shared" si="5"/>
        <v>242.708752</v>
      </c>
    </row>
    <row r="726" ht="14.25" customHeight="1">
      <c r="A726" s="6" t="s">
        <v>1928</v>
      </c>
      <c r="B726" s="6" t="s">
        <v>1929</v>
      </c>
      <c r="C726" s="6" t="s">
        <v>1930</v>
      </c>
      <c r="D726" s="6" t="s">
        <v>70</v>
      </c>
      <c r="E726" s="6" t="s">
        <v>65</v>
      </c>
      <c r="F726" s="6" t="s">
        <v>66</v>
      </c>
      <c r="G726" s="6">
        <v>6.0</v>
      </c>
      <c r="H726" s="6">
        <v>250.17</v>
      </c>
      <c r="I726" s="6">
        <v>499.26</v>
      </c>
      <c r="J726" s="6">
        <v>21.76</v>
      </c>
      <c r="K726" s="6" t="s">
        <v>44</v>
      </c>
      <c r="L726" s="6" t="s">
        <v>25</v>
      </c>
      <c r="M726" s="6">
        <f t="shared" si="1"/>
        <v>1501.02</v>
      </c>
      <c r="N726" s="6">
        <f t="shared" si="2"/>
        <v>2343.726144</v>
      </c>
      <c r="O726" s="6">
        <f t="shared" si="3"/>
        <v>842.706144</v>
      </c>
      <c r="P726" s="7">
        <f t="shared" si="4"/>
        <v>0.3595582812</v>
      </c>
      <c r="Q726" s="6" t="s">
        <v>26</v>
      </c>
      <c r="R726" s="8">
        <f t="shared" si="5"/>
        <v>651.833856</v>
      </c>
    </row>
    <row r="727" ht="14.25" customHeight="1">
      <c r="A727" s="6" t="s">
        <v>1931</v>
      </c>
      <c r="B727" s="6" t="s">
        <v>1932</v>
      </c>
      <c r="C727" s="6" t="s">
        <v>1933</v>
      </c>
      <c r="D727" s="6" t="s">
        <v>83</v>
      </c>
      <c r="E727" s="6" t="s">
        <v>53</v>
      </c>
      <c r="F727" s="6" t="s">
        <v>54</v>
      </c>
      <c r="G727" s="6">
        <v>4.0</v>
      </c>
      <c r="H727" s="6">
        <v>64.41</v>
      </c>
      <c r="I727" s="6">
        <v>112.82</v>
      </c>
      <c r="J727" s="6">
        <v>8.43</v>
      </c>
      <c r="K727" s="6" t="s">
        <v>44</v>
      </c>
      <c r="L727" s="6" t="s">
        <v>33</v>
      </c>
      <c r="M727" s="6">
        <f t="shared" si="1"/>
        <v>257.64</v>
      </c>
      <c r="N727" s="6">
        <f t="shared" si="2"/>
        <v>413.237096</v>
      </c>
      <c r="O727" s="6">
        <f t="shared" si="3"/>
        <v>155.597096</v>
      </c>
      <c r="P727" s="7">
        <f t="shared" si="4"/>
        <v>0.376532256</v>
      </c>
      <c r="Q727" s="6" t="s">
        <v>40</v>
      </c>
      <c r="R727" s="8">
        <f t="shared" si="5"/>
        <v>38.042904</v>
      </c>
    </row>
    <row r="728" ht="14.25" customHeight="1">
      <c r="A728" s="6" t="s">
        <v>1934</v>
      </c>
      <c r="B728" s="6" t="s">
        <v>90</v>
      </c>
      <c r="C728" s="6" t="s">
        <v>1935</v>
      </c>
      <c r="D728" s="6" t="s">
        <v>30</v>
      </c>
      <c r="E728" s="6" t="s">
        <v>59</v>
      </c>
      <c r="F728" s="6" t="s">
        <v>60</v>
      </c>
      <c r="G728" s="6">
        <v>5.0</v>
      </c>
      <c r="H728" s="6">
        <v>274.78</v>
      </c>
      <c r="I728" s="6">
        <v>406.86</v>
      </c>
      <c r="J728" s="6">
        <v>10.39</v>
      </c>
      <c r="K728" s="6" t="s">
        <v>44</v>
      </c>
      <c r="L728" s="6" t="s">
        <v>55</v>
      </c>
      <c r="M728" s="6">
        <f t="shared" si="1"/>
        <v>1373.9</v>
      </c>
      <c r="N728" s="6">
        <f t="shared" si="2"/>
        <v>1822.93623</v>
      </c>
      <c r="O728" s="6">
        <f t="shared" si="3"/>
        <v>449.03623</v>
      </c>
      <c r="P728" s="7">
        <f t="shared" si="4"/>
        <v>0.2463258026</v>
      </c>
      <c r="Q728" s="6" t="s">
        <v>49</v>
      </c>
      <c r="R728" s="8">
        <f t="shared" si="5"/>
        <v>211.36377</v>
      </c>
    </row>
    <row r="729" ht="14.25" customHeight="1">
      <c r="A729" s="6" t="s">
        <v>1936</v>
      </c>
      <c r="B729" s="6" t="s">
        <v>1937</v>
      </c>
      <c r="C729" s="6" t="s">
        <v>1938</v>
      </c>
      <c r="D729" s="6" t="s">
        <v>30</v>
      </c>
      <c r="E729" s="6" t="s">
        <v>53</v>
      </c>
      <c r="F729" s="6" t="s">
        <v>54</v>
      </c>
      <c r="G729" s="6">
        <v>1.0</v>
      </c>
      <c r="H729" s="6">
        <v>332.17</v>
      </c>
      <c r="I729" s="6">
        <v>554.05</v>
      </c>
      <c r="J729" s="6">
        <v>21.04</v>
      </c>
      <c r="K729" s="6" t="s">
        <v>44</v>
      </c>
      <c r="L729" s="6" t="s">
        <v>55</v>
      </c>
      <c r="M729" s="6">
        <f t="shared" si="1"/>
        <v>332.17</v>
      </c>
      <c r="N729" s="6">
        <f t="shared" si="2"/>
        <v>437.47788</v>
      </c>
      <c r="O729" s="6">
        <f t="shared" si="3"/>
        <v>105.30788</v>
      </c>
      <c r="P729" s="7">
        <f t="shared" si="4"/>
        <v>0.2407158963</v>
      </c>
      <c r="Q729" s="6" t="s">
        <v>49</v>
      </c>
      <c r="R729" s="8">
        <f t="shared" si="5"/>
        <v>116.57212</v>
      </c>
    </row>
    <row r="730" ht="14.25" customHeight="1">
      <c r="A730" s="6" t="s">
        <v>1939</v>
      </c>
      <c r="B730" s="6" t="s">
        <v>1254</v>
      </c>
      <c r="C730" s="6" t="s">
        <v>1940</v>
      </c>
      <c r="D730" s="6" t="s">
        <v>83</v>
      </c>
      <c r="E730" s="6" t="s">
        <v>38</v>
      </c>
      <c r="F730" s="6" t="s">
        <v>71</v>
      </c>
      <c r="G730" s="6">
        <v>7.0</v>
      </c>
      <c r="H730" s="6">
        <v>88.68</v>
      </c>
      <c r="I730" s="6">
        <v>149.65</v>
      </c>
      <c r="J730" s="6">
        <v>9.14</v>
      </c>
      <c r="K730" s="6" t="s">
        <v>44</v>
      </c>
      <c r="L730" s="6" t="s">
        <v>61</v>
      </c>
      <c r="M730" s="6">
        <f t="shared" si="1"/>
        <v>620.76</v>
      </c>
      <c r="N730" s="6">
        <f t="shared" si="2"/>
        <v>951.80393</v>
      </c>
      <c r="O730" s="6">
        <f t="shared" si="3"/>
        <v>331.04393</v>
      </c>
      <c r="P730" s="7">
        <f t="shared" si="4"/>
        <v>0.3478068535</v>
      </c>
      <c r="Q730" s="6" t="s">
        <v>49</v>
      </c>
      <c r="R730" s="8">
        <f t="shared" si="5"/>
        <v>95.74607</v>
      </c>
    </row>
    <row r="731" ht="14.25" customHeight="1">
      <c r="A731" s="6" t="s">
        <v>1941</v>
      </c>
      <c r="B731" s="6" t="s">
        <v>1942</v>
      </c>
      <c r="C731" s="6" t="s">
        <v>1943</v>
      </c>
      <c r="D731" s="6" t="s">
        <v>70</v>
      </c>
      <c r="E731" s="6" t="s">
        <v>59</v>
      </c>
      <c r="F731" s="6" t="s">
        <v>60</v>
      </c>
      <c r="G731" s="6">
        <v>8.0</v>
      </c>
      <c r="H731" s="6">
        <v>58.73</v>
      </c>
      <c r="I731" s="6">
        <v>95.09</v>
      </c>
      <c r="J731" s="6">
        <v>16.98</v>
      </c>
      <c r="K731" s="6" t="s">
        <v>44</v>
      </c>
      <c r="L731" s="6" t="s">
        <v>61</v>
      </c>
      <c r="M731" s="6">
        <f t="shared" si="1"/>
        <v>469.84</v>
      </c>
      <c r="N731" s="6">
        <f t="shared" si="2"/>
        <v>631.549744</v>
      </c>
      <c r="O731" s="6">
        <f t="shared" si="3"/>
        <v>161.709744</v>
      </c>
      <c r="P731" s="7">
        <f t="shared" si="4"/>
        <v>0.2560522675</v>
      </c>
      <c r="Q731" s="6" t="s">
        <v>76</v>
      </c>
      <c r="R731" s="8">
        <f t="shared" si="5"/>
        <v>129.170256</v>
      </c>
    </row>
    <row r="732" ht="14.25" customHeight="1">
      <c r="A732" s="6" t="s">
        <v>1944</v>
      </c>
      <c r="B732" s="6" t="s">
        <v>459</v>
      </c>
      <c r="C732" s="6" t="s">
        <v>1945</v>
      </c>
      <c r="D732" s="6" t="s">
        <v>21</v>
      </c>
      <c r="E732" s="6" t="s">
        <v>53</v>
      </c>
      <c r="F732" s="6" t="s">
        <v>54</v>
      </c>
      <c r="G732" s="6">
        <v>8.0</v>
      </c>
      <c r="H732" s="6">
        <v>358.87</v>
      </c>
      <c r="I732" s="6">
        <v>442.68</v>
      </c>
      <c r="J732" s="6">
        <v>19.54</v>
      </c>
      <c r="K732" s="6" t="s">
        <v>24</v>
      </c>
      <c r="L732" s="6" t="s">
        <v>25</v>
      </c>
      <c r="M732" s="6">
        <f t="shared" si="1"/>
        <v>2870.96</v>
      </c>
      <c r="N732" s="6">
        <f t="shared" si="2"/>
        <v>2849.442624</v>
      </c>
      <c r="O732" s="6">
        <f t="shared" si="3"/>
        <v>-21.517376</v>
      </c>
      <c r="P732" s="7">
        <f t="shared" si="4"/>
        <v>-0.007551433329</v>
      </c>
      <c r="Q732" s="6" t="s">
        <v>49</v>
      </c>
      <c r="R732" s="8">
        <f t="shared" si="5"/>
        <v>691.997376</v>
      </c>
    </row>
    <row r="733" ht="14.25" customHeight="1">
      <c r="A733" s="6" t="s">
        <v>1946</v>
      </c>
      <c r="B733" s="6" t="s">
        <v>1947</v>
      </c>
      <c r="C733" s="6" t="s">
        <v>1948</v>
      </c>
      <c r="D733" s="6" t="s">
        <v>21</v>
      </c>
      <c r="E733" s="6" t="s">
        <v>31</v>
      </c>
      <c r="F733" s="6" t="s">
        <v>32</v>
      </c>
      <c r="G733" s="6">
        <v>1.0</v>
      </c>
      <c r="H733" s="6">
        <v>389.27</v>
      </c>
      <c r="I733" s="6">
        <v>587.74</v>
      </c>
      <c r="J733" s="6">
        <v>3.47</v>
      </c>
      <c r="K733" s="6" t="s">
        <v>24</v>
      </c>
      <c r="L733" s="6" t="s">
        <v>61</v>
      </c>
      <c r="M733" s="6">
        <f t="shared" si="1"/>
        <v>389.27</v>
      </c>
      <c r="N733" s="6">
        <f t="shared" si="2"/>
        <v>567.345422</v>
      </c>
      <c r="O733" s="6">
        <f t="shared" si="3"/>
        <v>178.075422</v>
      </c>
      <c r="P733" s="7">
        <f t="shared" si="4"/>
        <v>0.3138747844</v>
      </c>
      <c r="Q733" s="6" t="s">
        <v>49</v>
      </c>
      <c r="R733" s="8">
        <f t="shared" si="5"/>
        <v>20.394578</v>
      </c>
    </row>
    <row r="734" ht="14.25" customHeight="1">
      <c r="A734" s="6" t="s">
        <v>1949</v>
      </c>
      <c r="B734" s="6" t="s">
        <v>1248</v>
      </c>
      <c r="C734" s="6" t="s">
        <v>1950</v>
      </c>
      <c r="D734" s="6" t="s">
        <v>30</v>
      </c>
      <c r="E734" s="6" t="s">
        <v>38</v>
      </c>
      <c r="F734" s="6" t="s">
        <v>39</v>
      </c>
      <c r="G734" s="6">
        <v>1.0</v>
      </c>
      <c r="H734" s="6">
        <v>158.53</v>
      </c>
      <c r="I734" s="6">
        <v>256.43</v>
      </c>
      <c r="J734" s="6">
        <v>18.03</v>
      </c>
      <c r="K734" s="6" t="s">
        <v>44</v>
      </c>
      <c r="L734" s="6" t="s">
        <v>61</v>
      </c>
      <c r="M734" s="6">
        <f t="shared" si="1"/>
        <v>158.53</v>
      </c>
      <c r="N734" s="6">
        <f t="shared" si="2"/>
        <v>210.195671</v>
      </c>
      <c r="O734" s="6">
        <f t="shared" si="3"/>
        <v>51.665671</v>
      </c>
      <c r="P734" s="7">
        <f t="shared" si="4"/>
        <v>0.2457979784</v>
      </c>
      <c r="Q734" s="6" t="s">
        <v>26</v>
      </c>
      <c r="R734" s="8">
        <f t="shared" si="5"/>
        <v>46.234329</v>
      </c>
    </row>
    <row r="735" ht="14.25" customHeight="1">
      <c r="A735" s="6" t="s">
        <v>1951</v>
      </c>
      <c r="B735" s="6" t="s">
        <v>1952</v>
      </c>
      <c r="C735" s="6" t="s">
        <v>1953</v>
      </c>
      <c r="D735" s="6" t="s">
        <v>21</v>
      </c>
      <c r="E735" s="6" t="s">
        <v>65</v>
      </c>
      <c r="F735" s="6" t="s">
        <v>75</v>
      </c>
      <c r="G735" s="6">
        <v>5.0</v>
      </c>
      <c r="H735" s="6">
        <v>245.3</v>
      </c>
      <c r="I735" s="6">
        <v>415.94</v>
      </c>
      <c r="J735" s="6">
        <v>15.03</v>
      </c>
      <c r="K735" s="6" t="s">
        <v>44</v>
      </c>
      <c r="L735" s="6" t="s">
        <v>33</v>
      </c>
      <c r="M735" s="6">
        <f t="shared" si="1"/>
        <v>1226.5</v>
      </c>
      <c r="N735" s="6">
        <f t="shared" si="2"/>
        <v>1767.12109</v>
      </c>
      <c r="O735" s="6">
        <f t="shared" si="3"/>
        <v>540.62109</v>
      </c>
      <c r="P735" s="7">
        <f t="shared" si="4"/>
        <v>0.3059332454</v>
      </c>
      <c r="Q735" s="6" t="s">
        <v>76</v>
      </c>
      <c r="R735" s="8">
        <f t="shared" si="5"/>
        <v>312.57891</v>
      </c>
    </row>
    <row r="736" ht="14.25" customHeight="1">
      <c r="A736" s="6" t="s">
        <v>1954</v>
      </c>
      <c r="B736" s="6" t="s">
        <v>1955</v>
      </c>
      <c r="C736" s="6" t="s">
        <v>1956</v>
      </c>
      <c r="D736" s="6" t="s">
        <v>30</v>
      </c>
      <c r="E736" s="6" t="s">
        <v>87</v>
      </c>
      <c r="F736" s="6" t="s">
        <v>88</v>
      </c>
      <c r="G736" s="6">
        <v>3.0</v>
      </c>
      <c r="H736" s="6">
        <v>401.05</v>
      </c>
      <c r="I736" s="6">
        <v>556.26</v>
      </c>
      <c r="J736" s="6">
        <v>21.99</v>
      </c>
      <c r="K736" s="6" t="s">
        <v>24</v>
      </c>
      <c r="L736" s="6" t="s">
        <v>25</v>
      </c>
      <c r="M736" s="6">
        <f t="shared" si="1"/>
        <v>1203.15</v>
      </c>
      <c r="N736" s="6">
        <f t="shared" si="2"/>
        <v>1301.815278</v>
      </c>
      <c r="O736" s="6">
        <f t="shared" si="3"/>
        <v>98.665278</v>
      </c>
      <c r="P736" s="7">
        <f t="shared" si="4"/>
        <v>0.07579053624</v>
      </c>
      <c r="Q736" s="6" t="s">
        <v>34</v>
      </c>
      <c r="R736" s="8">
        <f t="shared" si="5"/>
        <v>366.964722</v>
      </c>
    </row>
    <row r="737" ht="14.25" customHeight="1">
      <c r="A737" s="6" t="s">
        <v>1957</v>
      </c>
      <c r="B737" s="6" t="s">
        <v>1958</v>
      </c>
      <c r="C737" s="6" t="s">
        <v>1959</v>
      </c>
      <c r="D737" s="6" t="s">
        <v>70</v>
      </c>
      <c r="E737" s="6" t="s">
        <v>38</v>
      </c>
      <c r="F737" s="6" t="s">
        <v>71</v>
      </c>
      <c r="G737" s="6">
        <v>3.0</v>
      </c>
      <c r="H737" s="6">
        <v>57.27</v>
      </c>
      <c r="I737" s="6">
        <v>82.69</v>
      </c>
      <c r="J737" s="6">
        <v>23.23</v>
      </c>
      <c r="K737" s="6" t="s">
        <v>24</v>
      </c>
      <c r="L737" s="6" t="s">
        <v>61</v>
      </c>
      <c r="M737" s="6">
        <f t="shared" si="1"/>
        <v>171.81</v>
      </c>
      <c r="N737" s="6">
        <f t="shared" si="2"/>
        <v>190.443339</v>
      </c>
      <c r="O737" s="6">
        <f t="shared" si="3"/>
        <v>18.633339</v>
      </c>
      <c r="P737" s="7">
        <f t="shared" si="4"/>
        <v>0.09784190457</v>
      </c>
      <c r="Q737" s="6" t="s">
        <v>76</v>
      </c>
      <c r="R737" s="8">
        <f t="shared" si="5"/>
        <v>57.626661</v>
      </c>
    </row>
    <row r="738" ht="14.25" customHeight="1">
      <c r="A738" s="6" t="s">
        <v>1960</v>
      </c>
      <c r="B738" s="6" t="s">
        <v>1961</v>
      </c>
      <c r="C738" s="6" t="s">
        <v>1962</v>
      </c>
      <c r="D738" s="6" t="s">
        <v>70</v>
      </c>
      <c r="E738" s="6" t="s">
        <v>65</v>
      </c>
      <c r="F738" s="6" t="s">
        <v>75</v>
      </c>
      <c r="G738" s="6">
        <v>7.0</v>
      </c>
      <c r="H738" s="6">
        <v>209.63</v>
      </c>
      <c r="I738" s="6">
        <v>394.59</v>
      </c>
      <c r="J738" s="6">
        <v>11.04</v>
      </c>
      <c r="K738" s="6" t="s">
        <v>24</v>
      </c>
      <c r="L738" s="6" t="s">
        <v>55</v>
      </c>
      <c r="M738" s="6">
        <f t="shared" si="1"/>
        <v>1467.41</v>
      </c>
      <c r="N738" s="6">
        <f t="shared" si="2"/>
        <v>2457.190848</v>
      </c>
      <c r="O738" s="6">
        <f t="shared" si="3"/>
        <v>989.780848</v>
      </c>
      <c r="P738" s="7">
        <f t="shared" si="4"/>
        <v>0.4028099196</v>
      </c>
      <c r="Q738" s="6" t="s">
        <v>49</v>
      </c>
      <c r="R738" s="8">
        <f t="shared" si="5"/>
        <v>304.939152</v>
      </c>
    </row>
    <row r="739" ht="14.25" customHeight="1">
      <c r="A739" s="6" t="s">
        <v>1963</v>
      </c>
      <c r="B739" s="6" t="s">
        <v>242</v>
      </c>
      <c r="C739" s="6" t="s">
        <v>1964</v>
      </c>
      <c r="D739" s="6" t="s">
        <v>30</v>
      </c>
      <c r="E739" s="6" t="s">
        <v>38</v>
      </c>
      <c r="F739" s="6" t="s">
        <v>39</v>
      </c>
      <c r="G739" s="6">
        <v>4.0</v>
      </c>
      <c r="H739" s="6">
        <v>273.39</v>
      </c>
      <c r="I739" s="6">
        <v>449.09</v>
      </c>
      <c r="J739" s="6">
        <v>0.34</v>
      </c>
      <c r="K739" s="6" t="s">
        <v>44</v>
      </c>
      <c r="L739" s="6" t="s">
        <v>25</v>
      </c>
      <c r="M739" s="6">
        <f t="shared" si="1"/>
        <v>1093.56</v>
      </c>
      <c r="N739" s="6">
        <f t="shared" si="2"/>
        <v>1790.252376</v>
      </c>
      <c r="O739" s="6">
        <f t="shared" si="3"/>
        <v>696.692376</v>
      </c>
      <c r="P739" s="7">
        <f t="shared" si="4"/>
        <v>0.3891587495</v>
      </c>
      <c r="Q739" s="6" t="s">
        <v>34</v>
      </c>
      <c r="R739" s="8">
        <f t="shared" si="5"/>
        <v>6.107624</v>
      </c>
    </row>
    <row r="740" ht="14.25" customHeight="1">
      <c r="A740" s="6" t="s">
        <v>1965</v>
      </c>
      <c r="B740" s="6" t="s">
        <v>1966</v>
      </c>
      <c r="C740" s="6" t="s">
        <v>1967</v>
      </c>
      <c r="D740" s="6" t="s">
        <v>83</v>
      </c>
      <c r="E740" s="6" t="s">
        <v>65</v>
      </c>
      <c r="F740" s="6" t="s">
        <v>66</v>
      </c>
      <c r="G740" s="6">
        <v>2.0</v>
      </c>
      <c r="H740" s="6">
        <v>274.88</v>
      </c>
      <c r="I740" s="6">
        <v>454.27</v>
      </c>
      <c r="J740" s="6">
        <v>7.73</v>
      </c>
      <c r="K740" s="6" t="s">
        <v>24</v>
      </c>
      <c r="L740" s="6" t="s">
        <v>55</v>
      </c>
      <c r="M740" s="6">
        <f t="shared" si="1"/>
        <v>549.76</v>
      </c>
      <c r="N740" s="6">
        <f t="shared" si="2"/>
        <v>838.309858</v>
      </c>
      <c r="O740" s="6">
        <f t="shared" si="3"/>
        <v>288.549858</v>
      </c>
      <c r="P740" s="7">
        <f t="shared" si="4"/>
        <v>0.3442043002</v>
      </c>
      <c r="Q740" s="6" t="s">
        <v>26</v>
      </c>
      <c r="R740" s="8">
        <f t="shared" si="5"/>
        <v>70.230142</v>
      </c>
    </row>
    <row r="741" ht="14.25" customHeight="1">
      <c r="A741" s="6" t="s">
        <v>1968</v>
      </c>
      <c r="B741" s="6" t="s">
        <v>1969</v>
      </c>
      <c r="C741" s="6" t="s">
        <v>1970</v>
      </c>
      <c r="D741" s="6" t="s">
        <v>30</v>
      </c>
      <c r="E741" s="6" t="s">
        <v>38</v>
      </c>
      <c r="F741" s="6" t="s">
        <v>39</v>
      </c>
      <c r="G741" s="6">
        <v>3.0</v>
      </c>
      <c r="H741" s="6">
        <v>359.26</v>
      </c>
      <c r="I741" s="6">
        <v>570.92</v>
      </c>
      <c r="J741" s="6">
        <v>23.8</v>
      </c>
      <c r="K741" s="6" t="s">
        <v>44</v>
      </c>
      <c r="L741" s="6" t="s">
        <v>55</v>
      </c>
      <c r="M741" s="6">
        <f t="shared" si="1"/>
        <v>1077.78</v>
      </c>
      <c r="N741" s="6">
        <f t="shared" si="2"/>
        <v>1305.12312</v>
      </c>
      <c r="O741" s="6">
        <f t="shared" si="3"/>
        <v>227.34312</v>
      </c>
      <c r="P741" s="7">
        <f t="shared" si="4"/>
        <v>0.1741928532</v>
      </c>
      <c r="Q741" s="6" t="s">
        <v>26</v>
      </c>
      <c r="R741" s="8">
        <f t="shared" si="5"/>
        <v>407.63688</v>
      </c>
    </row>
    <row r="742" ht="14.25" customHeight="1">
      <c r="A742" s="6" t="s">
        <v>1971</v>
      </c>
      <c r="B742" s="6" t="s">
        <v>1972</v>
      </c>
      <c r="C742" s="6" t="s">
        <v>1973</v>
      </c>
      <c r="D742" s="6" t="s">
        <v>70</v>
      </c>
      <c r="E742" s="6" t="s">
        <v>31</v>
      </c>
      <c r="F742" s="6" t="s">
        <v>32</v>
      </c>
      <c r="G742" s="6">
        <v>4.0</v>
      </c>
      <c r="H742" s="6">
        <v>185.41</v>
      </c>
      <c r="I742" s="6">
        <v>308.0</v>
      </c>
      <c r="J742" s="6">
        <v>17.32</v>
      </c>
      <c r="K742" s="6" t="s">
        <v>24</v>
      </c>
      <c r="L742" s="6" t="s">
        <v>33</v>
      </c>
      <c r="M742" s="6">
        <f t="shared" si="1"/>
        <v>741.64</v>
      </c>
      <c r="N742" s="6">
        <f t="shared" si="2"/>
        <v>1018.6176</v>
      </c>
      <c r="O742" s="6">
        <f t="shared" si="3"/>
        <v>276.9776</v>
      </c>
      <c r="P742" s="7">
        <f t="shared" si="4"/>
        <v>0.2719151917</v>
      </c>
      <c r="Q742" s="6" t="s">
        <v>40</v>
      </c>
      <c r="R742" s="8">
        <f t="shared" si="5"/>
        <v>213.3824</v>
      </c>
    </row>
    <row r="743" ht="14.25" customHeight="1">
      <c r="A743" s="6" t="s">
        <v>1974</v>
      </c>
      <c r="B743" s="6" t="s">
        <v>1975</v>
      </c>
      <c r="C743" s="6" t="s">
        <v>1976</v>
      </c>
      <c r="D743" s="6" t="s">
        <v>30</v>
      </c>
      <c r="E743" s="6" t="s">
        <v>31</v>
      </c>
      <c r="F743" s="6" t="s">
        <v>32</v>
      </c>
      <c r="G743" s="6">
        <v>8.0</v>
      </c>
      <c r="H743" s="6">
        <v>232.59</v>
      </c>
      <c r="I743" s="6">
        <v>329.09</v>
      </c>
      <c r="J743" s="6">
        <v>16.18</v>
      </c>
      <c r="K743" s="6" t="s">
        <v>44</v>
      </c>
      <c r="L743" s="6" t="s">
        <v>25</v>
      </c>
      <c r="M743" s="6">
        <f t="shared" si="1"/>
        <v>1860.72</v>
      </c>
      <c r="N743" s="6">
        <f t="shared" si="2"/>
        <v>2206.745904</v>
      </c>
      <c r="O743" s="6">
        <f t="shared" si="3"/>
        <v>346.025904</v>
      </c>
      <c r="P743" s="7">
        <f t="shared" si="4"/>
        <v>0.1568036915</v>
      </c>
      <c r="Q743" s="6" t="s">
        <v>76</v>
      </c>
      <c r="R743" s="8">
        <f t="shared" si="5"/>
        <v>425.974096</v>
      </c>
    </row>
    <row r="744" ht="14.25" customHeight="1">
      <c r="A744" s="6" t="s">
        <v>1977</v>
      </c>
      <c r="B744" s="6" t="s">
        <v>1978</v>
      </c>
      <c r="C744" s="6" t="s">
        <v>1979</v>
      </c>
      <c r="D744" s="6" t="s">
        <v>21</v>
      </c>
      <c r="E744" s="6" t="s">
        <v>65</v>
      </c>
      <c r="F744" s="6" t="s">
        <v>66</v>
      </c>
      <c r="G744" s="6">
        <v>4.0</v>
      </c>
      <c r="H744" s="6">
        <v>297.9</v>
      </c>
      <c r="I744" s="6">
        <v>485.07</v>
      </c>
      <c r="J744" s="6">
        <v>2.45</v>
      </c>
      <c r="K744" s="6" t="s">
        <v>24</v>
      </c>
      <c r="L744" s="6" t="s">
        <v>33</v>
      </c>
      <c r="M744" s="6">
        <f t="shared" si="1"/>
        <v>1191.6</v>
      </c>
      <c r="N744" s="6">
        <f t="shared" si="2"/>
        <v>1892.74314</v>
      </c>
      <c r="O744" s="6">
        <f t="shared" si="3"/>
        <v>701.14314</v>
      </c>
      <c r="P744" s="7">
        <f t="shared" si="4"/>
        <v>0.3704375545</v>
      </c>
      <c r="Q744" s="6" t="s">
        <v>49</v>
      </c>
      <c r="R744" s="8">
        <f t="shared" si="5"/>
        <v>47.53686</v>
      </c>
    </row>
    <row r="745" ht="14.25" customHeight="1">
      <c r="A745" s="6" t="s">
        <v>1980</v>
      </c>
      <c r="B745" s="6" t="s">
        <v>423</v>
      </c>
      <c r="C745" s="6" t="s">
        <v>1981</v>
      </c>
      <c r="D745" s="6" t="s">
        <v>21</v>
      </c>
      <c r="E745" s="6" t="s">
        <v>31</v>
      </c>
      <c r="F745" s="6" t="s">
        <v>32</v>
      </c>
      <c r="G745" s="6">
        <v>5.0</v>
      </c>
      <c r="H745" s="6">
        <v>124.67</v>
      </c>
      <c r="I745" s="6">
        <v>165.17</v>
      </c>
      <c r="J745" s="6">
        <v>22.44</v>
      </c>
      <c r="K745" s="6" t="s">
        <v>44</v>
      </c>
      <c r="L745" s="6" t="s">
        <v>33</v>
      </c>
      <c r="M745" s="6">
        <f t="shared" si="1"/>
        <v>623.35</v>
      </c>
      <c r="N745" s="6">
        <f t="shared" si="2"/>
        <v>640.52926</v>
      </c>
      <c r="O745" s="6">
        <f t="shared" si="3"/>
        <v>17.17926</v>
      </c>
      <c r="P745" s="7">
        <f t="shared" si="4"/>
        <v>0.02682041411</v>
      </c>
      <c r="Q745" s="6" t="s">
        <v>76</v>
      </c>
      <c r="R745" s="8">
        <f t="shared" si="5"/>
        <v>185.32074</v>
      </c>
    </row>
    <row r="746" ht="14.25" customHeight="1">
      <c r="A746" s="6" t="s">
        <v>1982</v>
      </c>
      <c r="B746" s="6" t="s">
        <v>1983</v>
      </c>
      <c r="C746" s="6" t="s">
        <v>1984</v>
      </c>
      <c r="D746" s="6" t="s">
        <v>30</v>
      </c>
      <c r="E746" s="6" t="s">
        <v>87</v>
      </c>
      <c r="F746" s="6" t="s">
        <v>88</v>
      </c>
      <c r="G746" s="6">
        <v>8.0</v>
      </c>
      <c r="H746" s="6">
        <v>288.32</v>
      </c>
      <c r="I746" s="6">
        <v>508.77</v>
      </c>
      <c r="J746" s="6">
        <v>8.45</v>
      </c>
      <c r="K746" s="6" t="s">
        <v>44</v>
      </c>
      <c r="L746" s="6" t="s">
        <v>61</v>
      </c>
      <c r="M746" s="6">
        <f t="shared" si="1"/>
        <v>2306.56</v>
      </c>
      <c r="N746" s="6">
        <f t="shared" si="2"/>
        <v>3726.23148</v>
      </c>
      <c r="O746" s="6">
        <f t="shared" si="3"/>
        <v>1419.67148</v>
      </c>
      <c r="P746" s="7">
        <f t="shared" si="4"/>
        <v>0.3809939043</v>
      </c>
      <c r="Q746" s="6" t="s">
        <v>34</v>
      </c>
      <c r="R746" s="8">
        <f t="shared" si="5"/>
        <v>343.92852</v>
      </c>
    </row>
    <row r="747" ht="14.25" customHeight="1">
      <c r="A747" s="6" t="s">
        <v>1985</v>
      </c>
      <c r="B747" s="6" t="s">
        <v>1539</v>
      </c>
      <c r="C747" s="6" t="s">
        <v>1986</v>
      </c>
      <c r="D747" s="6" t="s">
        <v>83</v>
      </c>
      <c r="E747" s="6" t="s">
        <v>65</v>
      </c>
      <c r="F747" s="6" t="s">
        <v>66</v>
      </c>
      <c r="G747" s="6">
        <v>5.0</v>
      </c>
      <c r="H747" s="6">
        <v>181.53</v>
      </c>
      <c r="I747" s="6">
        <v>342.61</v>
      </c>
      <c r="J747" s="6">
        <v>9.31</v>
      </c>
      <c r="K747" s="6" t="s">
        <v>44</v>
      </c>
      <c r="L747" s="6" t="s">
        <v>33</v>
      </c>
      <c r="M747" s="6">
        <f t="shared" si="1"/>
        <v>907.65</v>
      </c>
      <c r="N747" s="6">
        <f t="shared" si="2"/>
        <v>1553.565045</v>
      </c>
      <c r="O747" s="6">
        <f t="shared" si="3"/>
        <v>645.915045</v>
      </c>
      <c r="P747" s="7">
        <f t="shared" si="4"/>
        <v>0.4157631166</v>
      </c>
      <c r="Q747" s="6" t="s">
        <v>26</v>
      </c>
      <c r="R747" s="8">
        <f t="shared" si="5"/>
        <v>159.484955</v>
      </c>
    </row>
    <row r="748" ht="14.25" customHeight="1">
      <c r="A748" s="6" t="s">
        <v>1987</v>
      </c>
      <c r="B748" s="6" t="s">
        <v>99</v>
      </c>
      <c r="C748" s="6" t="s">
        <v>1988</v>
      </c>
      <c r="D748" s="6" t="s">
        <v>21</v>
      </c>
      <c r="E748" s="6" t="s">
        <v>38</v>
      </c>
      <c r="F748" s="6" t="s">
        <v>39</v>
      </c>
      <c r="G748" s="6">
        <v>3.0</v>
      </c>
      <c r="H748" s="6">
        <v>137.98</v>
      </c>
      <c r="I748" s="6">
        <v>254.46</v>
      </c>
      <c r="J748" s="6">
        <v>3.53</v>
      </c>
      <c r="K748" s="6" t="s">
        <v>24</v>
      </c>
      <c r="L748" s="6" t="s">
        <v>33</v>
      </c>
      <c r="M748" s="6">
        <f t="shared" si="1"/>
        <v>413.94</v>
      </c>
      <c r="N748" s="6">
        <f t="shared" si="2"/>
        <v>736.432686</v>
      </c>
      <c r="O748" s="6">
        <f t="shared" si="3"/>
        <v>322.492686</v>
      </c>
      <c r="P748" s="7">
        <f t="shared" si="4"/>
        <v>0.4379119669</v>
      </c>
      <c r="Q748" s="6" t="s">
        <v>34</v>
      </c>
      <c r="R748" s="8">
        <f t="shared" si="5"/>
        <v>26.947314</v>
      </c>
    </row>
    <row r="749" ht="14.25" customHeight="1">
      <c r="A749" s="6" t="s">
        <v>1989</v>
      </c>
      <c r="B749" s="6" t="s">
        <v>1873</v>
      </c>
      <c r="C749" s="6" t="s">
        <v>1990</v>
      </c>
      <c r="D749" s="6" t="s">
        <v>64</v>
      </c>
      <c r="E749" s="6" t="s">
        <v>104</v>
      </c>
      <c r="F749" s="6" t="s">
        <v>105</v>
      </c>
      <c r="G749" s="6">
        <v>8.0</v>
      </c>
      <c r="H749" s="6">
        <v>340.2</v>
      </c>
      <c r="I749" s="6">
        <v>564.98</v>
      </c>
      <c r="J749" s="6">
        <v>17.64</v>
      </c>
      <c r="K749" s="6" t="s">
        <v>24</v>
      </c>
      <c r="L749" s="6" t="s">
        <v>33</v>
      </c>
      <c r="M749" s="6">
        <f t="shared" si="1"/>
        <v>2721.6</v>
      </c>
      <c r="N749" s="6">
        <f t="shared" si="2"/>
        <v>3722.540224</v>
      </c>
      <c r="O749" s="6">
        <f t="shared" si="3"/>
        <v>1000.940224</v>
      </c>
      <c r="P749" s="7">
        <f t="shared" si="4"/>
        <v>0.2688863421</v>
      </c>
      <c r="Q749" s="6" t="s">
        <v>34</v>
      </c>
      <c r="R749" s="8">
        <f t="shared" si="5"/>
        <v>797.299776</v>
      </c>
    </row>
    <row r="750" ht="14.25" customHeight="1">
      <c r="A750" s="6" t="s">
        <v>1991</v>
      </c>
      <c r="B750" s="6" t="s">
        <v>170</v>
      </c>
      <c r="C750" s="6" t="s">
        <v>1990</v>
      </c>
      <c r="D750" s="6" t="s">
        <v>21</v>
      </c>
      <c r="E750" s="6" t="s">
        <v>38</v>
      </c>
      <c r="F750" s="6" t="s">
        <v>39</v>
      </c>
      <c r="G750" s="6">
        <v>6.0</v>
      </c>
      <c r="H750" s="6">
        <v>244.95</v>
      </c>
      <c r="I750" s="6">
        <v>460.83</v>
      </c>
      <c r="J750" s="6">
        <v>7.38</v>
      </c>
      <c r="K750" s="6" t="s">
        <v>44</v>
      </c>
      <c r="L750" s="6" t="s">
        <v>33</v>
      </c>
      <c r="M750" s="6">
        <f t="shared" si="1"/>
        <v>1469.7</v>
      </c>
      <c r="N750" s="6">
        <f t="shared" si="2"/>
        <v>2560.924476</v>
      </c>
      <c r="O750" s="6">
        <f t="shared" si="3"/>
        <v>1091.224476</v>
      </c>
      <c r="P750" s="7">
        <f t="shared" si="4"/>
        <v>0.4261056842</v>
      </c>
      <c r="Q750" s="6" t="s">
        <v>26</v>
      </c>
      <c r="R750" s="8">
        <f t="shared" si="5"/>
        <v>204.055524</v>
      </c>
    </row>
    <row r="751" ht="14.25" customHeight="1">
      <c r="A751" s="6" t="s">
        <v>1992</v>
      </c>
      <c r="B751" s="6" t="s">
        <v>1993</v>
      </c>
      <c r="C751" s="6" t="s">
        <v>1994</v>
      </c>
      <c r="D751" s="6" t="s">
        <v>30</v>
      </c>
      <c r="E751" s="6" t="s">
        <v>104</v>
      </c>
      <c r="F751" s="6" t="s">
        <v>105</v>
      </c>
      <c r="G751" s="6">
        <v>4.0</v>
      </c>
      <c r="H751" s="6">
        <v>72.88</v>
      </c>
      <c r="I751" s="6">
        <v>113.4</v>
      </c>
      <c r="J751" s="6">
        <v>13.57</v>
      </c>
      <c r="K751" s="6" t="s">
        <v>44</v>
      </c>
      <c r="L751" s="6" t="s">
        <v>61</v>
      </c>
      <c r="M751" s="6">
        <f t="shared" si="1"/>
        <v>291.52</v>
      </c>
      <c r="N751" s="6">
        <f t="shared" si="2"/>
        <v>392.04648</v>
      </c>
      <c r="O751" s="6">
        <f t="shared" si="3"/>
        <v>100.52648</v>
      </c>
      <c r="P751" s="7">
        <f t="shared" si="4"/>
        <v>0.2564146986</v>
      </c>
      <c r="Q751" s="6" t="s">
        <v>34</v>
      </c>
      <c r="R751" s="8">
        <f t="shared" si="5"/>
        <v>61.55352</v>
      </c>
    </row>
    <row r="752" ht="14.25" customHeight="1">
      <c r="A752" s="6" t="s">
        <v>1995</v>
      </c>
      <c r="B752" s="6" t="s">
        <v>1996</v>
      </c>
      <c r="C752" s="6" t="s">
        <v>1997</v>
      </c>
      <c r="D752" s="6" t="s">
        <v>30</v>
      </c>
      <c r="E752" s="6" t="s">
        <v>53</v>
      </c>
      <c r="F752" s="6" t="s">
        <v>54</v>
      </c>
      <c r="G752" s="6">
        <v>3.0</v>
      </c>
      <c r="H752" s="6">
        <v>131.92</v>
      </c>
      <c r="I752" s="6">
        <v>259.38</v>
      </c>
      <c r="J752" s="6">
        <v>2.61</v>
      </c>
      <c r="K752" s="6" t="s">
        <v>44</v>
      </c>
      <c r="L752" s="6" t="s">
        <v>33</v>
      </c>
      <c r="M752" s="6">
        <f t="shared" si="1"/>
        <v>395.76</v>
      </c>
      <c r="N752" s="6">
        <f t="shared" si="2"/>
        <v>757.830546</v>
      </c>
      <c r="O752" s="6">
        <f t="shared" si="3"/>
        <v>362.070546</v>
      </c>
      <c r="P752" s="7">
        <f t="shared" si="4"/>
        <v>0.477772436</v>
      </c>
      <c r="Q752" s="6" t="s">
        <v>40</v>
      </c>
      <c r="R752" s="8">
        <f t="shared" si="5"/>
        <v>20.309454</v>
      </c>
    </row>
    <row r="753" ht="14.25" customHeight="1">
      <c r="A753" s="6" t="s">
        <v>1998</v>
      </c>
      <c r="B753" s="6" t="s">
        <v>1999</v>
      </c>
      <c r="C753" s="6" t="s">
        <v>1997</v>
      </c>
      <c r="D753" s="6" t="s">
        <v>64</v>
      </c>
      <c r="E753" s="6" t="s">
        <v>31</v>
      </c>
      <c r="F753" s="6" t="s">
        <v>32</v>
      </c>
      <c r="G753" s="6">
        <v>3.0</v>
      </c>
      <c r="H753" s="6">
        <v>94.36</v>
      </c>
      <c r="I753" s="6">
        <v>170.11</v>
      </c>
      <c r="J753" s="6">
        <v>12.3</v>
      </c>
      <c r="K753" s="6" t="s">
        <v>24</v>
      </c>
      <c r="L753" s="6" t="s">
        <v>33</v>
      </c>
      <c r="M753" s="6">
        <f t="shared" si="1"/>
        <v>283.08</v>
      </c>
      <c r="N753" s="6">
        <f t="shared" si="2"/>
        <v>447.55941</v>
      </c>
      <c r="O753" s="6">
        <f t="shared" si="3"/>
        <v>164.47941</v>
      </c>
      <c r="P753" s="7">
        <f t="shared" si="4"/>
        <v>0.3675029646</v>
      </c>
      <c r="Q753" s="6" t="s">
        <v>76</v>
      </c>
      <c r="R753" s="8">
        <f t="shared" si="5"/>
        <v>62.77059</v>
      </c>
    </row>
    <row r="754" ht="14.25" customHeight="1">
      <c r="A754" s="6" t="s">
        <v>2000</v>
      </c>
      <c r="B754" s="6" t="s">
        <v>426</v>
      </c>
      <c r="C754" s="6" t="s">
        <v>2001</v>
      </c>
      <c r="D754" s="6" t="s">
        <v>21</v>
      </c>
      <c r="E754" s="6" t="s">
        <v>87</v>
      </c>
      <c r="F754" s="6" t="s">
        <v>88</v>
      </c>
      <c r="G754" s="6">
        <v>3.0</v>
      </c>
      <c r="H754" s="6">
        <v>115.86</v>
      </c>
      <c r="I754" s="6">
        <v>231.46</v>
      </c>
      <c r="J754" s="6">
        <v>8.82</v>
      </c>
      <c r="K754" s="6" t="s">
        <v>44</v>
      </c>
      <c r="L754" s="6" t="s">
        <v>55</v>
      </c>
      <c r="M754" s="6">
        <f t="shared" si="1"/>
        <v>347.58</v>
      </c>
      <c r="N754" s="6">
        <f t="shared" si="2"/>
        <v>633.135684</v>
      </c>
      <c r="O754" s="6">
        <f t="shared" si="3"/>
        <v>285.555684</v>
      </c>
      <c r="P754" s="7">
        <f t="shared" si="4"/>
        <v>0.4510181486</v>
      </c>
      <c r="Q754" s="6" t="s">
        <v>49</v>
      </c>
      <c r="R754" s="8">
        <f t="shared" si="5"/>
        <v>61.244316</v>
      </c>
    </row>
    <row r="755" ht="14.25" customHeight="1">
      <c r="A755" s="6" t="s">
        <v>2002</v>
      </c>
      <c r="B755" s="6" t="s">
        <v>801</v>
      </c>
      <c r="C755" s="6" t="s">
        <v>2003</v>
      </c>
      <c r="D755" s="6" t="s">
        <v>21</v>
      </c>
      <c r="E755" s="6" t="s">
        <v>104</v>
      </c>
      <c r="F755" s="6" t="s">
        <v>105</v>
      </c>
      <c r="G755" s="6">
        <v>2.0</v>
      </c>
      <c r="H755" s="6">
        <v>88.33</v>
      </c>
      <c r="I755" s="6">
        <v>106.31</v>
      </c>
      <c r="J755" s="6">
        <v>21.6</v>
      </c>
      <c r="K755" s="6" t="s">
        <v>44</v>
      </c>
      <c r="L755" s="6" t="s">
        <v>55</v>
      </c>
      <c r="M755" s="6">
        <f t="shared" si="1"/>
        <v>176.66</v>
      </c>
      <c r="N755" s="6">
        <f t="shared" si="2"/>
        <v>166.69408</v>
      </c>
      <c r="O755" s="6">
        <f t="shared" si="3"/>
        <v>-9.96592</v>
      </c>
      <c r="P755" s="7">
        <f t="shared" si="4"/>
        <v>-0.05978568645</v>
      </c>
      <c r="Q755" s="6" t="s">
        <v>26</v>
      </c>
      <c r="R755" s="8">
        <f t="shared" si="5"/>
        <v>45.92592</v>
      </c>
    </row>
    <row r="756" ht="14.25" customHeight="1">
      <c r="A756" s="6" t="s">
        <v>2004</v>
      </c>
      <c r="B756" s="6" t="s">
        <v>1348</v>
      </c>
      <c r="C756" s="6" t="s">
        <v>2005</v>
      </c>
      <c r="D756" s="6" t="s">
        <v>48</v>
      </c>
      <c r="E756" s="6" t="s">
        <v>65</v>
      </c>
      <c r="F756" s="6" t="s">
        <v>75</v>
      </c>
      <c r="G756" s="6">
        <v>7.0</v>
      </c>
      <c r="H756" s="6">
        <v>98.71</v>
      </c>
      <c r="I756" s="6">
        <v>122.49</v>
      </c>
      <c r="J756" s="6">
        <v>11.29</v>
      </c>
      <c r="K756" s="6" t="s">
        <v>44</v>
      </c>
      <c r="L756" s="6" t="s">
        <v>55</v>
      </c>
      <c r="M756" s="6">
        <f t="shared" si="1"/>
        <v>690.97</v>
      </c>
      <c r="N756" s="6">
        <f t="shared" si="2"/>
        <v>760.626153</v>
      </c>
      <c r="O756" s="6">
        <f t="shared" si="3"/>
        <v>69.656153</v>
      </c>
      <c r="P756" s="7">
        <f t="shared" si="4"/>
        <v>0.09157738361</v>
      </c>
      <c r="Q756" s="6" t="s">
        <v>76</v>
      </c>
      <c r="R756" s="8">
        <f t="shared" si="5"/>
        <v>96.803847</v>
      </c>
    </row>
    <row r="757" ht="14.25" customHeight="1">
      <c r="A757" s="6" t="s">
        <v>2006</v>
      </c>
      <c r="B757" s="6" t="s">
        <v>2007</v>
      </c>
      <c r="C757" s="6" t="s">
        <v>2008</v>
      </c>
      <c r="D757" s="6" t="s">
        <v>64</v>
      </c>
      <c r="E757" s="6" t="s">
        <v>59</v>
      </c>
      <c r="F757" s="6" t="s">
        <v>60</v>
      </c>
      <c r="G757" s="6">
        <v>2.0</v>
      </c>
      <c r="H757" s="6">
        <v>239.42</v>
      </c>
      <c r="I757" s="6">
        <v>332.99</v>
      </c>
      <c r="J757" s="6">
        <v>5.26</v>
      </c>
      <c r="K757" s="6" t="s">
        <v>24</v>
      </c>
      <c r="L757" s="6" t="s">
        <v>61</v>
      </c>
      <c r="M757" s="6">
        <f t="shared" si="1"/>
        <v>478.84</v>
      </c>
      <c r="N757" s="6">
        <f t="shared" si="2"/>
        <v>630.949452</v>
      </c>
      <c r="O757" s="6">
        <f t="shared" si="3"/>
        <v>152.109452</v>
      </c>
      <c r="P757" s="7">
        <f t="shared" si="4"/>
        <v>0.2410802506</v>
      </c>
      <c r="Q757" s="6" t="s">
        <v>76</v>
      </c>
      <c r="R757" s="8">
        <f t="shared" si="5"/>
        <v>35.030548</v>
      </c>
    </row>
    <row r="758" ht="14.25" customHeight="1">
      <c r="A758" s="6" t="s">
        <v>2009</v>
      </c>
      <c r="B758" s="6" t="s">
        <v>1257</v>
      </c>
      <c r="C758" s="6" t="s">
        <v>2010</v>
      </c>
      <c r="D758" s="6" t="s">
        <v>83</v>
      </c>
      <c r="E758" s="6" t="s">
        <v>104</v>
      </c>
      <c r="F758" s="6" t="s">
        <v>105</v>
      </c>
      <c r="G758" s="6">
        <v>3.0</v>
      </c>
      <c r="H758" s="6">
        <v>402.87</v>
      </c>
      <c r="I758" s="6">
        <v>478.23</v>
      </c>
      <c r="J758" s="6">
        <v>16.15</v>
      </c>
      <c r="K758" s="6" t="s">
        <v>24</v>
      </c>
      <c r="L758" s="6" t="s">
        <v>61</v>
      </c>
      <c r="M758" s="6">
        <f t="shared" si="1"/>
        <v>1208.61</v>
      </c>
      <c r="N758" s="6">
        <f t="shared" si="2"/>
        <v>1202.987565</v>
      </c>
      <c r="O758" s="6">
        <f t="shared" si="3"/>
        <v>-5.622435</v>
      </c>
      <c r="P758" s="7">
        <f t="shared" si="4"/>
        <v>-0.004673726615</v>
      </c>
      <c r="Q758" s="6" t="s">
        <v>34</v>
      </c>
      <c r="R758" s="8">
        <f t="shared" si="5"/>
        <v>231.702435</v>
      </c>
    </row>
    <row r="759" ht="14.25" customHeight="1">
      <c r="A759" s="6" t="s">
        <v>2011</v>
      </c>
      <c r="B759" s="6" t="s">
        <v>2012</v>
      </c>
      <c r="C759" s="6" t="s">
        <v>2013</v>
      </c>
      <c r="D759" s="6" t="s">
        <v>83</v>
      </c>
      <c r="E759" s="6" t="s">
        <v>65</v>
      </c>
      <c r="F759" s="6" t="s">
        <v>66</v>
      </c>
      <c r="G759" s="6">
        <v>2.0</v>
      </c>
      <c r="H759" s="6">
        <v>113.07</v>
      </c>
      <c r="I759" s="6">
        <v>195.57</v>
      </c>
      <c r="J759" s="6">
        <v>21.79</v>
      </c>
      <c r="K759" s="6" t="s">
        <v>24</v>
      </c>
      <c r="L759" s="6" t="s">
        <v>55</v>
      </c>
      <c r="M759" s="6">
        <f t="shared" si="1"/>
        <v>226.14</v>
      </c>
      <c r="N759" s="6">
        <f t="shared" si="2"/>
        <v>305.910594</v>
      </c>
      <c r="O759" s="6">
        <f t="shared" si="3"/>
        <v>79.770594</v>
      </c>
      <c r="P759" s="7">
        <f t="shared" si="4"/>
        <v>0.2607644049</v>
      </c>
      <c r="Q759" s="6" t="s">
        <v>26</v>
      </c>
      <c r="R759" s="8">
        <f t="shared" si="5"/>
        <v>85.229406</v>
      </c>
    </row>
    <row r="760" ht="14.25" customHeight="1">
      <c r="A760" s="6" t="s">
        <v>2014</v>
      </c>
      <c r="B760" s="6" t="s">
        <v>191</v>
      </c>
      <c r="C760" s="6" t="s">
        <v>2015</v>
      </c>
      <c r="D760" s="6" t="s">
        <v>30</v>
      </c>
      <c r="E760" s="6" t="s">
        <v>59</v>
      </c>
      <c r="F760" s="6" t="s">
        <v>60</v>
      </c>
      <c r="G760" s="6">
        <v>8.0</v>
      </c>
      <c r="H760" s="6">
        <v>65.66</v>
      </c>
      <c r="I760" s="6">
        <v>94.39</v>
      </c>
      <c r="J760" s="6">
        <v>23.94</v>
      </c>
      <c r="K760" s="6" t="s">
        <v>44</v>
      </c>
      <c r="L760" s="6" t="s">
        <v>55</v>
      </c>
      <c r="M760" s="6">
        <f t="shared" si="1"/>
        <v>525.28</v>
      </c>
      <c r="N760" s="6">
        <f t="shared" si="2"/>
        <v>574.344272</v>
      </c>
      <c r="O760" s="6">
        <f t="shared" si="3"/>
        <v>49.064272</v>
      </c>
      <c r="P760" s="7">
        <f t="shared" si="4"/>
        <v>0.08542658888</v>
      </c>
      <c r="Q760" s="6" t="s">
        <v>76</v>
      </c>
      <c r="R760" s="8">
        <f t="shared" si="5"/>
        <v>180.775728</v>
      </c>
    </row>
    <row r="761" ht="14.25" customHeight="1">
      <c r="A761" s="6" t="s">
        <v>2016</v>
      </c>
      <c r="B761" s="6" t="s">
        <v>2017</v>
      </c>
      <c r="C761" s="6" t="s">
        <v>2018</v>
      </c>
      <c r="D761" s="6" t="s">
        <v>30</v>
      </c>
      <c r="E761" s="6" t="s">
        <v>31</v>
      </c>
      <c r="F761" s="6" t="s">
        <v>32</v>
      </c>
      <c r="G761" s="6">
        <v>7.0</v>
      </c>
      <c r="H761" s="6">
        <v>350.02</v>
      </c>
      <c r="I761" s="6">
        <v>430.61</v>
      </c>
      <c r="J761" s="6">
        <v>13.35</v>
      </c>
      <c r="K761" s="6" t="s">
        <v>44</v>
      </c>
      <c r="L761" s="6" t="s">
        <v>25</v>
      </c>
      <c r="M761" s="6">
        <f t="shared" si="1"/>
        <v>2450.14</v>
      </c>
      <c r="N761" s="6">
        <f t="shared" si="2"/>
        <v>2611.864955</v>
      </c>
      <c r="O761" s="6">
        <f t="shared" si="3"/>
        <v>161.724955</v>
      </c>
      <c r="P761" s="7">
        <f t="shared" si="4"/>
        <v>0.06191934031</v>
      </c>
      <c r="Q761" s="6" t="s">
        <v>34</v>
      </c>
      <c r="R761" s="8">
        <f t="shared" si="5"/>
        <v>402.405045</v>
      </c>
    </row>
    <row r="762" ht="14.25" customHeight="1">
      <c r="A762" s="6" t="s">
        <v>2019</v>
      </c>
      <c r="B762" s="6" t="s">
        <v>2020</v>
      </c>
      <c r="C762" s="6" t="s">
        <v>2021</v>
      </c>
      <c r="D762" s="6" t="s">
        <v>48</v>
      </c>
      <c r="E762" s="6" t="s">
        <v>38</v>
      </c>
      <c r="F762" s="6" t="s">
        <v>71</v>
      </c>
      <c r="G762" s="6">
        <v>6.0</v>
      </c>
      <c r="H762" s="6">
        <v>115.86</v>
      </c>
      <c r="I762" s="6">
        <v>168.29</v>
      </c>
      <c r="J762" s="6">
        <v>0.93</v>
      </c>
      <c r="K762" s="6" t="s">
        <v>24</v>
      </c>
      <c r="L762" s="6" t="s">
        <v>55</v>
      </c>
      <c r="M762" s="6">
        <f t="shared" si="1"/>
        <v>695.16</v>
      </c>
      <c r="N762" s="6">
        <f t="shared" si="2"/>
        <v>1000.349418</v>
      </c>
      <c r="O762" s="6">
        <f t="shared" si="3"/>
        <v>305.189418</v>
      </c>
      <c r="P762" s="7">
        <f t="shared" si="4"/>
        <v>0.3050828166</v>
      </c>
      <c r="Q762" s="6" t="s">
        <v>49</v>
      </c>
      <c r="R762" s="8">
        <f t="shared" si="5"/>
        <v>9.390582</v>
      </c>
    </row>
    <row r="763" ht="14.25" customHeight="1">
      <c r="A763" s="6" t="s">
        <v>2022</v>
      </c>
      <c r="B763" s="6" t="s">
        <v>2023</v>
      </c>
      <c r="C763" s="6" t="s">
        <v>2024</v>
      </c>
      <c r="D763" s="6" t="s">
        <v>21</v>
      </c>
      <c r="E763" s="6" t="s">
        <v>104</v>
      </c>
      <c r="F763" s="6" t="s">
        <v>105</v>
      </c>
      <c r="G763" s="6">
        <v>8.0</v>
      </c>
      <c r="H763" s="6">
        <v>319.26</v>
      </c>
      <c r="I763" s="6">
        <v>572.36</v>
      </c>
      <c r="J763" s="6">
        <v>13.19</v>
      </c>
      <c r="K763" s="6" t="s">
        <v>44</v>
      </c>
      <c r="L763" s="6" t="s">
        <v>55</v>
      </c>
      <c r="M763" s="6">
        <f t="shared" si="1"/>
        <v>2554.08</v>
      </c>
      <c r="N763" s="6">
        <f t="shared" si="2"/>
        <v>3974.925728</v>
      </c>
      <c r="O763" s="6">
        <f t="shared" si="3"/>
        <v>1420.845728</v>
      </c>
      <c r="P763" s="7">
        <f t="shared" si="4"/>
        <v>0.3574521451</v>
      </c>
      <c r="Q763" s="6" t="s">
        <v>34</v>
      </c>
      <c r="R763" s="8">
        <f t="shared" si="5"/>
        <v>603.954272</v>
      </c>
    </row>
    <row r="764" ht="14.25" customHeight="1">
      <c r="A764" s="6" t="s">
        <v>2025</v>
      </c>
      <c r="B764" s="6" t="s">
        <v>1619</v>
      </c>
      <c r="C764" s="6" t="s">
        <v>2026</v>
      </c>
      <c r="D764" s="6" t="s">
        <v>64</v>
      </c>
      <c r="E764" s="6" t="s">
        <v>65</v>
      </c>
      <c r="F764" s="6" t="s">
        <v>66</v>
      </c>
      <c r="G764" s="6">
        <v>3.0</v>
      </c>
      <c r="H764" s="6">
        <v>110.81</v>
      </c>
      <c r="I764" s="6">
        <v>174.57</v>
      </c>
      <c r="J764" s="6">
        <v>7.98</v>
      </c>
      <c r="K764" s="6" t="s">
        <v>24</v>
      </c>
      <c r="L764" s="6" t="s">
        <v>55</v>
      </c>
      <c r="M764" s="6">
        <f t="shared" si="1"/>
        <v>332.43</v>
      </c>
      <c r="N764" s="6">
        <f t="shared" si="2"/>
        <v>481.917942</v>
      </c>
      <c r="O764" s="6">
        <f t="shared" si="3"/>
        <v>149.487942</v>
      </c>
      <c r="P764" s="7">
        <f t="shared" si="4"/>
        <v>0.3101937674</v>
      </c>
      <c r="Q764" s="6" t="s">
        <v>76</v>
      </c>
      <c r="R764" s="8">
        <f t="shared" si="5"/>
        <v>41.792058</v>
      </c>
    </row>
    <row r="765" ht="14.25" customHeight="1">
      <c r="A765" s="6" t="s">
        <v>2027</v>
      </c>
      <c r="B765" s="6" t="s">
        <v>420</v>
      </c>
      <c r="C765" s="6" t="s">
        <v>2028</v>
      </c>
      <c r="D765" s="6" t="s">
        <v>70</v>
      </c>
      <c r="E765" s="6" t="s">
        <v>65</v>
      </c>
      <c r="F765" s="6" t="s">
        <v>66</v>
      </c>
      <c r="G765" s="6">
        <v>4.0</v>
      </c>
      <c r="H765" s="6">
        <v>329.7</v>
      </c>
      <c r="I765" s="6">
        <v>389.38</v>
      </c>
      <c r="J765" s="6">
        <v>3.07</v>
      </c>
      <c r="K765" s="6" t="s">
        <v>24</v>
      </c>
      <c r="L765" s="6" t="s">
        <v>55</v>
      </c>
      <c r="M765" s="6">
        <f t="shared" si="1"/>
        <v>1318.8</v>
      </c>
      <c r="N765" s="6">
        <f t="shared" si="2"/>
        <v>1509.704136</v>
      </c>
      <c r="O765" s="6">
        <f t="shared" si="3"/>
        <v>190.904136</v>
      </c>
      <c r="P765" s="7">
        <f t="shared" si="4"/>
        <v>0.1264513566</v>
      </c>
      <c r="Q765" s="6" t="s">
        <v>26</v>
      </c>
      <c r="R765" s="8">
        <f t="shared" si="5"/>
        <v>47.815864</v>
      </c>
    </row>
    <row r="766" ht="14.25" customHeight="1">
      <c r="A766" s="6" t="s">
        <v>2029</v>
      </c>
      <c r="B766" s="6" t="s">
        <v>871</v>
      </c>
      <c r="C766" s="6" t="s">
        <v>2030</v>
      </c>
      <c r="D766" s="6" t="s">
        <v>21</v>
      </c>
      <c r="E766" s="6" t="s">
        <v>104</v>
      </c>
      <c r="F766" s="6" t="s">
        <v>105</v>
      </c>
      <c r="G766" s="6">
        <v>3.0</v>
      </c>
      <c r="H766" s="6">
        <v>186.94</v>
      </c>
      <c r="I766" s="6">
        <v>302.89</v>
      </c>
      <c r="J766" s="6">
        <v>4.53</v>
      </c>
      <c r="K766" s="6" t="s">
        <v>24</v>
      </c>
      <c r="L766" s="6" t="s">
        <v>55</v>
      </c>
      <c r="M766" s="6">
        <f t="shared" si="1"/>
        <v>560.82</v>
      </c>
      <c r="N766" s="6">
        <f t="shared" si="2"/>
        <v>867.507249</v>
      </c>
      <c r="O766" s="6">
        <f t="shared" si="3"/>
        <v>306.687249</v>
      </c>
      <c r="P766" s="7">
        <f t="shared" si="4"/>
        <v>0.3535270159</v>
      </c>
      <c r="Q766" s="6" t="s">
        <v>40</v>
      </c>
      <c r="R766" s="8">
        <f t="shared" si="5"/>
        <v>41.162751</v>
      </c>
    </row>
    <row r="767" ht="14.25" customHeight="1">
      <c r="A767" s="6" t="s">
        <v>2031</v>
      </c>
      <c r="B767" s="6" t="s">
        <v>357</v>
      </c>
      <c r="C767" s="6" t="s">
        <v>2032</v>
      </c>
      <c r="D767" s="6" t="s">
        <v>83</v>
      </c>
      <c r="E767" s="6" t="s">
        <v>38</v>
      </c>
      <c r="F767" s="6" t="s">
        <v>71</v>
      </c>
      <c r="G767" s="6">
        <v>7.0</v>
      </c>
      <c r="H767" s="6">
        <v>335.75</v>
      </c>
      <c r="I767" s="6">
        <v>544.59</v>
      </c>
      <c r="J767" s="6">
        <v>0.82</v>
      </c>
      <c r="K767" s="6" t="s">
        <v>44</v>
      </c>
      <c r="L767" s="6" t="s">
        <v>25</v>
      </c>
      <c r="M767" s="6">
        <f t="shared" si="1"/>
        <v>2350.25</v>
      </c>
      <c r="N767" s="6">
        <f t="shared" si="2"/>
        <v>3780.870534</v>
      </c>
      <c r="O767" s="6">
        <f t="shared" si="3"/>
        <v>1430.620534</v>
      </c>
      <c r="P767" s="7">
        <f t="shared" si="4"/>
        <v>0.3783838989</v>
      </c>
      <c r="Q767" s="6" t="s">
        <v>26</v>
      </c>
      <c r="R767" s="8">
        <f t="shared" si="5"/>
        <v>31.259466</v>
      </c>
    </row>
    <row r="768" ht="14.25" customHeight="1">
      <c r="A768" s="6" t="s">
        <v>2033</v>
      </c>
      <c r="B768" s="6" t="s">
        <v>532</v>
      </c>
      <c r="C768" s="6" t="s">
        <v>2034</v>
      </c>
      <c r="D768" s="6" t="s">
        <v>83</v>
      </c>
      <c r="E768" s="6" t="s">
        <v>53</v>
      </c>
      <c r="F768" s="6" t="s">
        <v>54</v>
      </c>
      <c r="G768" s="6">
        <v>2.0</v>
      </c>
      <c r="H768" s="6">
        <v>197.93</v>
      </c>
      <c r="I768" s="6">
        <v>349.64</v>
      </c>
      <c r="J768" s="6">
        <v>10.57</v>
      </c>
      <c r="K768" s="6" t="s">
        <v>24</v>
      </c>
      <c r="L768" s="6" t="s">
        <v>61</v>
      </c>
      <c r="M768" s="6">
        <f t="shared" si="1"/>
        <v>395.86</v>
      </c>
      <c r="N768" s="6">
        <f t="shared" si="2"/>
        <v>625.366104</v>
      </c>
      <c r="O768" s="6">
        <f t="shared" si="3"/>
        <v>229.506104</v>
      </c>
      <c r="P768" s="7">
        <f t="shared" si="4"/>
        <v>0.3669947932</v>
      </c>
      <c r="Q768" s="6" t="s">
        <v>26</v>
      </c>
      <c r="R768" s="8">
        <f t="shared" si="5"/>
        <v>73.913896</v>
      </c>
    </row>
    <row r="769" ht="14.25" customHeight="1">
      <c r="A769" s="6" t="s">
        <v>2035</v>
      </c>
      <c r="B769" s="6" t="s">
        <v>2036</v>
      </c>
      <c r="C769" s="6" t="s">
        <v>2037</v>
      </c>
      <c r="D769" s="6" t="s">
        <v>70</v>
      </c>
      <c r="E769" s="6" t="s">
        <v>22</v>
      </c>
      <c r="F769" s="6" t="s">
        <v>23</v>
      </c>
      <c r="G769" s="6">
        <v>5.0</v>
      </c>
      <c r="H769" s="6">
        <v>351.1</v>
      </c>
      <c r="I769" s="6">
        <v>433.95</v>
      </c>
      <c r="J769" s="6">
        <v>0.05</v>
      </c>
      <c r="K769" s="6" t="s">
        <v>44</v>
      </c>
      <c r="L769" s="6" t="s">
        <v>55</v>
      </c>
      <c r="M769" s="6">
        <f t="shared" si="1"/>
        <v>1755.5</v>
      </c>
      <c r="N769" s="6">
        <f t="shared" si="2"/>
        <v>2168.665125</v>
      </c>
      <c r="O769" s="6">
        <f t="shared" si="3"/>
        <v>413.165125</v>
      </c>
      <c r="P769" s="7">
        <f t="shared" si="4"/>
        <v>0.1905158709</v>
      </c>
      <c r="Q769" s="6" t="s">
        <v>34</v>
      </c>
      <c r="R769" s="8">
        <f t="shared" si="5"/>
        <v>1.084875</v>
      </c>
    </row>
    <row r="770" ht="14.25" customHeight="1">
      <c r="A770" s="6" t="s">
        <v>2038</v>
      </c>
      <c r="B770" s="6" t="s">
        <v>1695</v>
      </c>
      <c r="C770" s="6" t="s">
        <v>2039</v>
      </c>
      <c r="D770" s="6" t="s">
        <v>48</v>
      </c>
      <c r="E770" s="6" t="s">
        <v>87</v>
      </c>
      <c r="F770" s="6" t="s">
        <v>88</v>
      </c>
      <c r="G770" s="6">
        <v>3.0</v>
      </c>
      <c r="H770" s="6">
        <v>287.76</v>
      </c>
      <c r="I770" s="6">
        <v>397.7</v>
      </c>
      <c r="J770" s="6">
        <v>10.14</v>
      </c>
      <c r="K770" s="6" t="s">
        <v>24</v>
      </c>
      <c r="L770" s="6" t="s">
        <v>25</v>
      </c>
      <c r="M770" s="6">
        <f t="shared" si="1"/>
        <v>863.28</v>
      </c>
      <c r="N770" s="6">
        <f t="shared" si="2"/>
        <v>1072.11966</v>
      </c>
      <c r="O770" s="6">
        <f t="shared" si="3"/>
        <v>208.83966</v>
      </c>
      <c r="P770" s="7">
        <f t="shared" si="4"/>
        <v>0.1947913724</v>
      </c>
      <c r="Q770" s="6" t="s">
        <v>34</v>
      </c>
      <c r="R770" s="8">
        <f t="shared" si="5"/>
        <v>120.98034</v>
      </c>
    </row>
    <row r="771" ht="14.25" customHeight="1">
      <c r="A771" s="6" t="s">
        <v>2040</v>
      </c>
      <c r="B771" s="6" t="s">
        <v>107</v>
      </c>
      <c r="C771" s="6" t="s">
        <v>2041</v>
      </c>
      <c r="D771" s="6" t="s">
        <v>21</v>
      </c>
      <c r="E771" s="6" t="s">
        <v>38</v>
      </c>
      <c r="F771" s="6" t="s">
        <v>71</v>
      </c>
      <c r="G771" s="6">
        <v>4.0</v>
      </c>
      <c r="H771" s="6">
        <v>143.4</v>
      </c>
      <c r="I771" s="6">
        <v>189.14</v>
      </c>
      <c r="J771" s="6">
        <v>17.23</v>
      </c>
      <c r="K771" s="6" t="s">
        <v>44</v>
      </c>
      <c r="L771" s="6" t="s">
        <v>33</v>
      </c>
      <c r="M771" s="6">
        <f t="shared" si="1"/>
        <v>573.6</v>
      </c>
      <c r="N771" s="6">
        <f t="shared" si="2"/>
        <v>626.204712</v>
      </c>
      <c r="O771" s="6">
        <f t="shared" si="3"/>
        <v>52.604712</v>
      </c>
      <c r="P771" s="7">
        <f t="shared" si="4"/>
        <v>0.08400561508</v>
      </c>
      <c r="Q771" s="6" t="s">
        <v>76</v>
      </c>
      <c r="R771" s="8">
        <f t="shared" si="5"/>
        <v>130.355288</v>
      </c>
    </row>
    <row r="772" ht="14.25" customHeight="1">
      <c r="A772" s="6" t="s">
        <v>2042</v>
      </c>
      <c r="B772" s="6" t="s">
        <v>272</v>
      </c>
      <c r="C772" s="6" t="s">
        <v>2043</v>
      </c>
      <c r="D772" s="6" t="s">
        <v>48</v>
      </c>
      <c r="E772" s="6" t="s">
        <v>65</v>
      </c>
      <c r="F772" s="6" t="s">
        <v>75</v>
      </c>
      <c r="G772" s="6">
        <v>3.0</v>
      </c>
      <c r="H772" s="6">
        <v>145.04</v>
      </c>
      <c r="I772" s="6">
        <v>208.25</v>
      </c>
      <c r="J772" s="6">
        <v>6.57</v>
      </c>
      <c r="K772" s="6" t="s">
        <v>24</v>
      </c>
      <c r="L772" s="6" t="s">
        <v>55</v>
      </c>
      <c r="M772" s="6">
        <f t="shared" si="1"/>
        <v>435.12</v>
      </c>
      <c r="N772" s="6">
        <f t="shared" si="2"/>
        <v>583.703925</v>
      </c>
      <c r="O772" s="6">
        <f t="shared" si="3"/>
        <v>148.583925</v>
      </c>
      <c r="P772" s="7">
        <f t="shared" si="4"/>
        <v>0.2545535821</v>
      </c>
      <c r="Q772" s="6" t="s">
        <v>76</v>
      </c>
      <c r="R772" s="8">
        <f t="shared" si="5"/>
        <v>41.046075</v>
      </c>
    </row>
    <row r="773" ht="14.25" customHeight="1">
      <c r="A773" s="6" t="s">
        <v>2044</v>
      </c>
      <c r="B773" s="6" t="s">
        <v>1343</v>
      </c>
      <c r="C773" s="6" t="s">
        <v>2045</v>
      </c>
      <c r="D773" s="6" t="s">
        <v>48</v>
      </c>
      <c r="E773" s="6" t="s">
        <v>59</v>
      </c>
      <c r="F773" s="6" t="s">
        <v>60</v>
      </c>
      <c r="G773" s="6">
        <v>1.0</v>
      </c>
      <c r="H773" s="6">
        <v>168.23</v>
      </c>
      <c r="I773" s="6">
        <v>319.07</v>
      </c>
      <c r="J773" s="6">
        <v>7.83</v>
      </c>
      <c r="K773" s="6" t="s">
        <v>24</v>
      </c>
      <c r="L773" s="6" t="s">
        <v>61</v>
      </c>
      <c r="M773" s="6">
        <f t="shared" si="1"/>
        <v>168.23</v>
      </c>
      <c r="N773" s="6">
        <f t="shared" si="2"/>
        <v>294.086819</v>
      </c>
      <c r="O773" s="6">
        <f t="shared" si="3"/>
        <v>125.856819</v>
      </c>
      <c r="P773" s="7">
        <f t="shared" si="4"/>
        <v>0.4279580412</v>
      </c>
      <c r="Q773" s="6" t="s">
        <v>40</v>
      </c>
      <c r="R773" s="8">
        <f t="shared" si="5"/>
        <v>24.983181</v>
      </c>
    </row>
    <row r="774" ht="14.25" customHeight="1">
      <c r="A774" s="6" t="s">
        <v>2046</v>
      </c>
      <c r="B774" s="6" t="s">
        <v>1213</v>
      </c>
      <c r="C774" s="6" t="s">
        <v>2047</v>
      </c>
      <c r="D774" s="6" t="s">
        <v>21</v>
      </c>
      <c r="E774" s="6" t="s">
        <v>22</v>
      </c>
      <c r="F774" s="6" t="s">
        <v>23</v>
      </c>
      <c r="G774" s="6">
        <v>6.0</v>
      </c>
      <c r="H774" s="6">
        <v>155.08</v>
      </c>
      <c r="I774" s="6">
        <v>287.12</v>
      </c>
      <c r="J774" s="6">
        <v>20.23</v>
      </c>
      <c r="K774" s="6" t="s">
        <v>24</v>
      </c>
      <c r="L774" s="6" t="s">
        <v>33</v>
      </c>
      <c r="M774" s="6">
        <f t="shared" si="1"/>
        <v>930.48</v>
      </c>
      <c r="N774" s="6">
        <f t="shared" si="2"/>
        <v>1374.213744</v>
      </c>
      <c r="O774" s="6">
        <f t="shared" si="3"/>
        <v>443.733744</v>
      </c>
      <c r="P774" s="7">
        <f t="shared" si="4"/>
        <v>0.3229000917</v>
      </c>
      <c r="Q774" s="6" t="s">
        <v>49</v>
      </c>
      <c r="R774" s="8">
        <f t="shared" si="5"/>
        <v>348.506256</v>
      </c>
    </row>
    <row r="775" ht="14.25" customHeight="1">
      <c r="A775" s="6" t="s">
        <v>2048</v>
      </c>
      <c r="B775" s="6" t="s">
        <v>1037</v>
      </c>
      <c r="C775" s="6" t="s">
        <v>2049</v>
      </c>
      <c r="D775" s="6" t="s">
        <v>70</v>
      </c>
      <c r="E775" s="6" t="s">
        <v>87</v>
      </c>
      <c r="F775" s="6" t="s">
        <v>88</v>
      </c>
      <c r="G775" s="6">
        <v>4.0</v>
      </c>
      <c r="H775" s="6">
        <v>265.21</v>
      </c>
      <c r="I775" s="6">
        <v>356.93</v>
      </c>
      <c r="J775" s="6">
        <v>7.95</v>
      </c>
      <c r="K775" s="6" t="s">
        <v>44</v>
      </c>
      <c r="L775" s="6" t="s">
        <v>25</v>
      </c>
      <c r="M775" s="6">
        <f t="shared" si="1"/>
        <v>1060.84</v>
      </c>
      <c r="N775" s="6">
        <f t="shared" si="2"/>
        <v>1314.21626</v>
      </c>
      <c r="O775" s="6">
        <f t="shared" si="3"/>
        <v>253.37626</v>
      </c>
      <c r="P775" s="7">
        <f t="shared" si="4"/>
        <v>0.1927964732</v>
      </c>
      <c r="Q775" s="6" t="s">
        <v>26</v>
      </c>
      <c r="R775" s="8">
        <f t="shared" si="5"/>
        <v>113.50374</v>
      </c>
    </row>
    <row r="776" ht="14.25" customHeight="1">
      <c r="A776" s="6" t="s">
        <v>2050</v>
      </c>
      <c r="B776" s="6" t="s">
        <v>1530</v>
      </c>
      <c r="C776" s="6" t="s">
        <v>2051</v>
      </c>
      <c r="D776" s="6" t="s">
        <v>83</v>
      </c>
      <c r="E776" s="6" t="s">
        <v>87</v>
      </c>
      <c r="F776" s="6" t="s">
        <v>88</v>
      </c>
      <c r="G776" s="6">
        <v>3.0</v>
      </c>
      <c r="H776" s="6">
        <v>135.74</v>
      </c>
      <c r="I776" s="6">
        <v>265.74</v>
      </c>
      <c r="J776" s="6">
        <v>14.44</v>
      </c>
      <c r="K776" s="6" t="s">
        <v>44</v>
      </c>
      <c r="L776" s="6" t="s">
        <v>25</v>
      </c>
      <c r="M776" s="6">
        <f t="shared" si="1"/>
        <v>407.22</v>
      </c>
      <c r="N776" s="6">
        <f t="shared" si="2"/>
        <v>682.101432</v>
      </c>
      <c r="O776" s="6">
        <f t="shared" si="3"/>
        <v>274.881432</v>
      </c>
      <c r="P776" s="7">
        <f t="shared" si="4"/>
        <v>0.4029920172</v>
      </c>
      <c r="Q776" s="6" t="s">
        <v>76</v>
      </c>
      <c r="R776" s="8">
        <f t="shared" si="5"/>
        <v>115.118568</v>
      </c>
    </row>
    <row r="777" ht="14.25" customHeight="1">
      <c r="A777" s="6" t="s">
        <v>2052</v>
      </c>
      <c r="B777" s="6" t="s">
        <v>1067</v>
      </c>
      <c r="C777" s="6" t="s">
        <v>2053</v>
      </c>
      <c r="D777" s="6" t="s">
        <v>21</v>
      </c>
      <c r="E777" s="6" t="s">
        <v>53</v>
      </c>
      <c r="F777" s="6" t="s">
        <v>54</v>
      </c>
      <c r="G777" s="6">
        <v>7.0</v>
      </c>
      <c r="H777" s="6">
        <v>116.15</v>
      </c>
      <c r="I777" s="6">
        <v>172.79</v>
      </c>
      <c r="J777" s="6">
        <v>3.6</v>
      </c>
      <c r="K777" s="6" t="s">
        <v>44</v>
      </c>
      <c r="L777" s="6" t="s">
        <v>61</v>
      </c>
      <c r="M777" s="6">
        <f t="shared" si="1"/>
        <v>813.05</v>
      </c>
      <c r="N777" s="6">
        <f t="shared" si="2"/>
        <v>1165.98692</v>
      </c>
      <c r="O777" s="6">
        <f t="shared" si="3"/>
        <v>352.93692</v>
      </c>
      <c r="P777" s="7">
        <f t="shared" si="4"/>
        <v>0.3026937215</v>
      </c>
      <c r="Q777" s="6" t="s">
        <v>40</v>
      </c>
      <c r="R777" s="8">
        <f t="shared" si="5"/>
        <v>43.54308</v>
      </c>
    </row>
    <row r="778" ht="14.25" customHeight="1">
      <c r="A778" s="6" t="s">
        <v>2054</v>
      </c>
      <c r="B778" s="6" t="s">
        <v>209</v>
      </c>
      <c r="C778" s="6" t="s">
        <v>2055</v>
      </c>
      <c r="D778" s="6" t="s">
        <v>48</v>
      </c>
      <c r="E778" s="6" t="s">
        <v>53</v>
      </c>
      <c r="F778" s="6" t="s">
        <v>54</v>
      </c>
      <c r="G778" s="6">
        <v>3.0</v>
      </c>
      <c r="H778" s="6">
        <v>291.48</v>
      </c>
      <c r="I778" s="6">
        <v>581.2</v>
      </c>
      <c r="J778" s="6">
        <v>18.41</v>
      </c>
      <c r="K778" s="6" t="s">
        <v>24</v>
      </c>
      <c r="L778" s="6" t="s">
        <v>33</v>
      </c>
      <c r="M778" s="6">
        <f t="shared" si="1"/>
        <v>874.44</v>
      </c>
      <c r="N778" s="6">
        <f t="shared" si="2"/>
        <v>1422.60324</v>
      </c>
      <c r="O778" s="6">
        <f t="shared" si="3"/>
        <v>548.16324</v>
      </c>
      <c r="P778" s="7">
        <f t="shared" si="4"/>
        <v>0.3853240486</v>
      </c>
      <c r="Q778" s="6" t="s">
        <v>26</v>
      </c>
      <c r="R778" s="8">
        <f t="shared" si="5"/>
        <v>320.99676</v>
      </c>
    </row>
    <row r="779" ht="14.25" customHeight="1">
      <c r="A779" s="6" t="s">
        <v>2056</v>
      </c>
      <c r="B779" s="6" t="s">
        <v>113</v>
      </c>
      <c r="C779" s="6" t="s">
        <v>2057</v>
      </c>
      <c r="D779" s="6" t="s">
        <v>70</v>
      </c>
      <c r="E779" s="6" t="s">
        <v>38</v>
      </c>
      <c r="F779" s="6" t="s">
        <v>71</v>
      </c>
      <c r="G779" s="6">
        <v>1.0</v>
      </c>
      <c r="H779" s="6">
        <v>295.1</v>
      </c>
      <c r="I779" s="6">
        <v>569.99</v>
      </c>
      <c r="J779" s="6">
        <v>23.1</v>
      </c>
      <c r="K779" s="6" t="s">
        <v>24</v>
      </c>
      <c r="L779" s="6" t="s">
        <v>61</v>
      </c>
      <c r="M779" s="6">
        <f t="shared" si="1"/>
        <v>295.1</v>
      </c>
      <c r="N779" s="6">
        <f t="shared" si="2"/>
        <v>438.32231</v>
      </c>
      <c r="O779" s="6">
        <f t="shared" si="3"/>
        <v>143.22231</v>
      </c>
      <c r="P779" s="7">
        <f t="shared" si="4"/>
        <v>0.3267511298</v>
      </c>
      <c r="Q779" s="6" t="s">
        <v>49</v>
      </c>
      <c r="R779" s="8">
        <f t="shared" si="5"/>
        <v>131.66769</v>
      </c>
    </row>
    <row r="780" ht="14.25" customHeight="1">
      <c r="A780" s="6" t="s">
        <v>2058</v>
      </c>
      <c r="B780" s="6" t="s">
        <v>2059</v>
      </c>
      <c r="C780" s="6" t="s">
        <v>2060</v>
      </c>
      <c r="D780" s="6" t="s">
        <v>30</v>
      </c>
      <c r="E780" s="6" t="s">
        <v>59</v>
      </c>
      <c r="F780" s="6" t="s">
        <v>60</v>
      </c>
      <c r="G780" s="6">
        <v>3.0</v>
      </c>
      <c r="H780" s="6">
        <v>266.54</v>
      </c>
      <c r="I780" s="6">
        <v>388.91</v>
      </c>
      <c r="J780" s="6">
        <v>12.34</v>
      </c>
      <c r="K780" s="6" t="s">
        <v>44</v>
      </c>
      <c r="L780" s="6" t="s">
        <v>33</v>
      </c>
      <c r="M780" s="6">
        <f t="shared" si="1"/>
        <v>799.62</v>
      </c>
      <c r="N780" s="6">
        <f t="shared" si="2"/>
        <v>1022.755518</v>
      </c>
      <c r="O780" s="6">
        <f t="shared" si="3"/>
        <v>223.135518</v>
      </c>
      <c r="P780" s="7">
        <f t="shared" si="4"/>
        <v>0.2181709256</v>
      </c>
      <c r="Q780" s="6" t="s">
        <v>49</v>
      </c>
      <c r="R780" s="8">
        <f t="shared" si="5"/>
        <v>143.974482</v>
      </c>
    </row>
    <row r="781" ht="14.25" customHeight="1">
      <c r="A781" s="6" t="s">
        <v>2061</v>
      </c>
      <c r="B781" s="6" t="s">
        <v>1685</v>
      </c>
      <c r="C781" s="6" t="s">
        <v>2062</v>
      </c>
      <c r="D781" s="6" t="s">
        <v>70</v>
      </c>
      <c r="E781" s="6" t="s">
        <v>53</v>
      </c>
      <c r="F781" s="6" t="s">
        <v>54</v>
      </c>
      <c r="G781" s="6">
        <v>3.0</v>
      </c>
      <c r="H781" s="6">
        <v>256.71</v>
      </c>
      <c r="I781" s="6">
        <v>334.58</v>
      </c>
      <c r="J781" s="6">
        <v>2.2</v>
      </c>
      <c r="K781" s="6" t="s">
        <v>24</v>
      </c>
      <c r="L781" s="6" t="s">
        <v>61</v>
      </c>
      <c r="M781" s="6">
        <f t="shared" si="1"/>
        <v>770.13</v>
      </c>
      <c r="N781" s="6">
        <f t="shared" si="2"/>
        <v>981.65772</v>
      </c>
      <c r="O781" s="6">
        <f t="shared" si="3"/>
        <v>211.52772</v>
      </c>
      <c r="P781" s="7">
        <f t="shared" si="4"/>
        <v>0.2154801166</v>
      </c>
      <c r="Q781" s="6" t="s">
        <v>34</v>
      </c>
      <c r="R781" s="8">
        <f t="shared" si="5"/>
        <v>22.08228</v>
      </c>
    </row>
    <row r="782" ht="14.25" customHeight="1">
      <c r="A782" s="6" t="s">
        <v>2063</v>
      </c>
      <c r="B782" s="6" t="s">
        <v>2064</v>
      </c>
      <c r="C782" s="6" t="s">
        <v>2062</v>
      </c>
      <c r="D782" s="6" t="s">
        <v>70</v>
      </c>
      <c r="E782" s="6" t="s">
        <v>65</v>
      </c>
      <c r="F782" s="6" t="s">
        <v>75</v>
      </c>
      <c r="G782" s="6">
        <v>5.0</v>
      </c>
      <c r="H782" s="6">
        <v>216.28</v>
      </c>
      <c r="I782" s="6">
        <v>317.08</v>
      </c>
      <c r="J782" s="6">
        <v>13.1</v>
      </c>
      <c r="K782" s="6" t="s">
        <v>44</v>
      </c>
      <c r="L782" s="6" t="s">
        <v>55</v>
      </c>
      <c r="M782" s="6">
        <f t="shared" si="1"/>
        <v>1081.4</v>
      </c>
      <c r="N782" s="6">
        <f t="shared" si="2"/>
        <v>1377.7126</v>
      </c>
      <c r="O782" s="6">
        <f t="shared" si="3"/>
        <v>296.3126</v>
      </c>
      <c r="P782" s="7">
        <f t="shared" si="4"/>
        <v>0.2150757712</v>
      </c>
      <c r="Q782" s="6" t="s">
        <v>34</v>
      </c>
      <c r="R782" s="8">
        <f t="shared" si="5"/>
        <v>207.6874</v>
      </c>
    </row>
    <row r="783" ht="14.25" customHeight="1">
      <c r="A783" s="6" t="s">
        <v>2065</v>
      </c>
      <c r="B783" s="6" t="s">
        <v>63</v>
      </c>
      <c r="C783" s="6" t="s">
        <v>2066</v>
      </c>
      <c r="D783" s="6" t="s">
        <v>48</v>
      </c>
      <c r="E783" s="6" t="s">
        <v>87</v>
      </c>
      <c r="F783" s="6" t="s">
        <v>88</v>
      </c>
      <c r="G783" s="6">
        <v>8.0</v>
      </c>
      <c r="H783" s="6">
        <v>158.64</v>
      </c>
      <c r="I783" s="6">
        <v>219.33</v>
      </c>
      <c r="J783" s="6">
        <v>20.22</v>
      </c>
      <c r="K783" s="6" t="s">
        <v>44</v>
      </c>
      <c r="L783" s="6" t="s">
        <v>33</v>
      </c>
      <c r="M783" s="6">
        <f t="shared" si="1"/>
        <v>1269.12</v>
      </c>
      <c r="N783" s="6">
        <f t="shared" si="2"/>
        <v>1399.851792</v>
      </c>
      <c r="O783" s="6">
        <f t="shared" si="3"/>
        <v>130.731792</v>
      </c>
      <c r="P783" s="7">
        <f t="shared" si="4"/>
        <v>0.09338973793</v>
      </c>
      <c r="Q783" s="6" t="s">
        <v>40</v>
      </c>
      <c r="R783" s="8">
        <f t="shared" si="5"/>
        <v>354.788208</v>
      </c>
    </row>
    <row r="784" ht="14.25" customHeight="1">
      <c r="A784" s="6" t="s">
        <v>2067</v>
      </c>
      <c r="B784" s="6" t="s">
        <v>2068</v>
      </c>
      <c r="C784" s="6" t="s">
        <v>2066</v>
      </c>
      <c r="D784" s="6" t="s">
        <v>70</v>
      </c>
      <c r="E784" s="6" t="s">
        <v>65</v>
      </c>
      <c r="F784" s="6" t="s">
        <v>66</v>
      </c>
      <c r="G784" s="6">
        <v>6.0</v>
      </c>
      <c r="H784" s="6">
        <v>351.39</v>
      </c>
      <c r="I784" s="6">
        <v>423.67</v>
      </c>
      <c r="J784" s="6">
        <v>24.43</v>
      </c>
      <c r="K784" s="6" t="s">
        <v>44</v>
      </c>
      <c r="L784" s="6" t="s">
        <v>25</v>
      </c>
      <c r="M784" s="6">
        <f t="shared" si="1"/>
        <v>2108.34</v>
      </c>
      <c r="N784" s="6">
        <f t="shared" si="2"/>
        <v>1921.004514</v>
      </c>
      <c r="O784" s="6">
        <f t="shared" si="3"/>
        <v>-187.335486</v>
      </c>
      <c r="P784" s="7">
        <f t="shared" si="4"/>
        <v>-0.09751954492</v>
      </c>
      <c r="Q784" s="6" t="s">
        <v>76</v>
      </c>
      <c r="R784" s="8">
        <f t="shared" si="5"/>
        <v>621.015486</v>
      </c>
    </row>
    <row r="785" ht="14.25" customHeight="1">
      <c r="A785" s="6" t="s">
        <v>2069</v>
      </c>
      <c r="B785" s="6" t="s">
        <v>1220</v>
      </c>
      <c r="C785" s="6" t="s">
        <v>2070</v>
      </c>
      <c r="D785" s="6" t="s">
        <v>70</v>
      </c>
      <c r="E785" s="6" t="s">
        <v>65</v>
      </c>
      <c r="F785" s="6" t="s">
        <v>66</v>
      </c>
      <c r="G785" s="6">
        <v>5.0</v>
      </c>
      <c r="H785" s="6">
        <v>308.62</v>
      </c>
      <c r="I785" s="6">
        <v>376.54</v>
      </c>
      <c r="J785" s="6">
        <v>7.61</v>
      </c>
      <c r="K785" s="6" t="s">
        <v>24</v>
      </c>
      <c r="L785" s="6" t="s">
        <v>25</v>
      </c>
      <c r="M785" s="6">
        <f t="shared" si="1"/>
        <v>1543.1</v>
      </c>
      <c r="N785" s="6">
        <f t="shared" si="2"/>
        <v>1739.42653</v>
      </c>
      <c r="O785" s="6">
        <f t="shared" si="3"/>
        <v>196.32653</v>
      </c>
      <c r="P785" s="7">
        <f t="shared" si="4"/>
        <v>0.1128685383</v>
      </c>
      <c r="Q785" s="6" t="s">
        <v>26</v>
      </c>
      <c r="R785" s="8">
        <f t="shared" si="5"/>
        <v>143.27347</v>
      </c>
    </row>
    <row r="786" ht="14.25" customHeight="1">
      <c r="A786" s="6" t="s">
        <v>2071</v>
      </c>
      <c r="B786" s="6" t="s">
        <v>756</v>
      </c>
      <c r="C786" s="6" t="s">
        <v>2072</v>
      </c>
      <c r="D786" s="6" t="s">
        <v>83</v>
      </c>
      <c r="E786" s="6" t="s">
        <v>31</v>
      </c>
      <c r="F786" s="6" t="s">
        <v>32</v>
      </c>
      <c r="G786" s="6">
        <v>1.0</v>
      </c>
      <c r="H786" s="6">
        <v>375.08</v>
      </c>
      <c r="I786" s="6">
        <v>457.94</v>
      </c>
      <c r="J786" s="6">
        <v>15.37</v>
      </c>
      <c r="K786" s="6" t="s">
        <v>44</v>
      </c>
      <c r="L786" s="6" t="s">
        <v>25</v>
      </c>
      <c r="M786" s="6">
        <f t="shared" si="1"/>
        <v>375.08</v>
      </c>
      <c r="N786" s="6">
        <f t="shared" si="2"/>
        <v>387.554622</v>
      </c>
      <c r="O786" s="6">
        <f t="shared" si="3"/>
        <v>12.474622</v>
      </c>
      <c r="P786" s="7">
        <f t="shared" si="4"/>
        <v>0.03218803568</v>
      </c>
      <c r="Q786" s="6" t="s">
        <v>34</v>
      </c>
      <c r="R786" s="8">
        <f t="shared" si="5"/>
        <v>70.385378</v>
      </c>
    </row>
    <row r="787" ht="14.25" customHeight="1">
      <c r="A787" s="6" t="s">
        <v>2073</v>
      </c>
      <c r="B787" s="6" t="s">
        <v>687</v>
      </c>
      <c r="C787" s="6" t="s">
        <v>2074</v>
      </c>
      <c r="D787" s="6" t="s">
        <v>21</v>
      </c>
      <c r="E787" s="6" t="s">
        <v>104</v>
      </c>
      <c r="F787" s="6" t="s">
        <v>105</v>
      </c>
      <c r="G787" s="6">
        <v>4.0</v>
      </c>
      <c r="H787" s="6">
        <v>272.3</v>
      </c>
      <c r="I787" s="6">
        <v>500.4</v>
      </c>
      <c r="J787" s="6">
        <v>10.58</v>
      </c>
      <c r="K787" s="6" t="s">
        <v>44</v>
      </c>
      <c r="L787" s="6" t="s">
        <v>55</v>
      </c>
      <c r="M787" s="6">
        <f t="shared" si="1"/>
        <v>1089.2</v>
      </c>
      <c r="N787" s="6">
        <f t="shared" si="2"/>
        <v>1789.83072</v>
      </c>
      <c r="O787" s="6">
        <f t="shared" si="3"/>
        <v>700.63072</v>
      </c>
      <c r="P787" s="7">
        <f t="shared" si="4"/>
        <v>0.3914508295</v>
      </c>
      <c r="Q787" s="6" t="s">
        <v>40</v>
      </c>
      <c r="R787" s="8">
        <f t="shared" si="5"/>
        <v>211.76928</v>
      </c>
    </row>
    <row r="788" ht="14.25" customHeight="1">
      <c r="A788" s="6" t="s">
        <v>2075</v>
      </c>
      <c r="B788" s="6" t="s">
        <v>1150</v>
      </c>
      <c r="C788" s="6" t="s">
        <v>2074</v>
      </c>
      <c r="D788" s="6" t="s">
        <v>64</v>
      </c>
      <c r="E788" s="6" t="s">
        <v>104</v>
      </c>
      <c r="F788" s="6" t="s">
        <v>105</v>
      </c>
      <c r="G788" s="6">
        <v>4.0</v>
      </c>
      <c r="H788" s="6">
        <v>117.08</v>
      </c>
      <c r="I788" s="6">
        <v>158.25</v>
      </c>
      <c r="J788" s="6">
        <v>7.51</v>
      </c>
      <c r="K788" s="6" t="s">
        <v>24</v>
      </c>
      <c r="L788" s="6" t="s">
        <v>25</v>
      </c>
      <c r="M788" s="6">
        <f t="shared" si="1"/>
        <v>468.32</v>
      </c>
      <c r="N788" s="6">
        <f t="shared" si="2"/>
        <v>585.4617</v>
      </c>
      <c r="O788" s="6">
        <f t="shared" si="3"/>
        <v>117.1417</v>
      </c>
      <c r="P788" s="7">
        <f t="shared" si="4"/>
        <v>0.2000843095</v>
      </c>
      <c r="Q788" s="6" t="s">
        <v>76</v>
      </c>
      <c r="R788" s="8">
        <f t="shared" si="5"/>
        <v>47.5383</v>
      </c>
    </row>
    <row r="789" ht="14.25" customHeight="1">
      <c r="A789" s="6" t="s">
        <v>2076</v>
      </c>
      <c r="B789" s="6" t="s">
        <v>1403</v>
      </c>
      <c r="C789" s="6" t="s">
        <v>2077</v>
      </c>
      <c r="D789" s="6" t="s">
        <v>21</v>
      </c>
      <c r="E789" s="6" t="s">
        <v>38</v>
      </c>
      <c r="F789" s="6" t="s">
        <v>39</v>
      </c>
      <c r="G789" s="6">
        <v>3.0</v>
      </c>
      <c r="H789" s="6">
        <v>82.55</v>
      </c>
      <c r="I789" s="6">
        <v>134.67</v>
      </c>
      <c r="J789" s="6">
        <v>17.19</v>
      </c>
      <c r="K789" s="6" t="s">
        <v>44</v>
      </c>
      <c r="L789" s="6" t="s">
        <v>25</v>
      </c>
      <c r="M789" s="6">
        <f t="shared" si="1"/>
        <v>247.65</v>
      </c>
      <c r="N789" s="6">
        <f t="shared" si="2"/>
        <v>334.560681</v>
      </c>
      <c r="O789" s="6">
        <f t="shared" si="3"/>
        <v>86.910681</v>
      </c>
      <c r="P789" s="7">
        <f t="shared" si="4"/>
        <v>0.2597755383</v>
      </c>
      <c r="Q789" s="6" t="s">
        <v>76</v>
      </c>
      <c r="R789" s="8">
        <f t="shared" si="5"/>
        <v>69.449319</v>
      </c>
    </row>
    <row r="790" ht="14.25" customHeight="1">
      <c r="A790" s="6" t="s">
        <v>2078</v>
      </c>
      <c r="B790" s="6" t="s">
        <v>1196</v>
      </c>
      <c r="C790" s="6" t="s">
        <v>2079</v>
      </c>
      <c r="D790" s="6" t="s">
        <v>83</v>
      </c>
      <c r="E790" s="6" t="s">
        <v>104</v>
      </c>
      <c r="F790" s="6" t="s">
        <v>105</v>
      </c>
      <c r="G790" s="6">
        <v>1.0</v>
      </c>
      <c r="H790" s="6">
        <v>188.22</v>
      </c>
      <c r="I790" s="6">
        <v>242.87</v>
      </c>
      <c r="J790" s="6">
        <v>17.8</v>
      </c>
      <c r="K790" s="6" t="s">
        <v>24</v>
      </c>
      <c r="L790" s="6" t="s">
        <v>33</v>
      </c>
      <c r="M790" s="6">
        <f t="shared" si="1"/>
        <v>188.22</v>
      </c>
      <c r="N790" s="6">
        <f t="shared" si="2"/>
        <v>199.63914</v>
      </c>
      <c r="O790" s="6">
        <f t="shared" si="3"/>
        <v>11.41914</v>
      </c>
      <c r="P790" s="7">
        <f t="shared" si="4"/>
        <v>0.05719890398</v>
      </c>
      <c r="Q790" s="6" t="s">
        <v>40</v>
      </c>
      <c r="R790" s="8">
        <f t="shared" si="5"/>
        <v>43.23086</v>
      </c>
    </row>
    <row r="791" ht="14.25" customHeight="1">
      <c r="A791" s="6" t="s">
        <v>2080</v>
      </c>
      <c r="B791" s="6" t="s">
        <v>2081</v>
      </c>
      <c r="C791" s="6" t="s">
        <v>2082</v>
      </c>
      <c r="D791" s="6" t="s">
        <v>21</v>
      </c>
      <c r="E791" s="6" t="s">
        <v>38</v>
      </c>
      <c r="F791" s="6" t="s">
        <v>39</v>
      </c>
      <c r="G791" s="6">
        <v>2.0</v>
      </c>
      <c r="H791" s="6">
        <v>229.6</v>
      </c>
      <c r="I791" s="6">
        <v>417.16</v>
      </c>
      <c r="J791" s="6">
        <v>22.12</v>
      </c>
      <c r="K791" s="6" t="s">
        <v>44</v>
      </c>
      <c r="L791" s="6" t="s">
        <v>33</v>
      </c>
      <c r="M791" s="6">
        <f t="shared" si="1"/>
        <v>459.2</v>
      </c>
      <c r="N791" s="6">
        <f t="shared" si="2"/>
        <v>649.768416</v>
      </c>
      <c r="O791" s="6">
        <f t="shared" si="3"/>
        <v>190.568416</v>
      </c>
      <c r="P791" s="7">
        <f t="shared" si="4"/>
        <v>0.2932866715</v>
      </c>
      <c r="Q791" s="6" t="s">
        <v>34</v>
      </c>
      <c r="R791" s="8">
        <f t="shared" si="5"/>
        <v>184.551584</v>
      </c>
    </row>
    <row r="792" ht="14.25" customHeight="1">
      <c r="A792" s="6" t="s">
        <v>2083</v>
      </c>
      <c r="B792" s="6" t="s">
        <v>2084</v>
      </c>
      <c r="C792" s="6" t="s">
        <v>2085</v>
      </c>
      <c r="D792" s="6" t="s">
        <v>70</v>
      </c>
      <c r="E792" s="6" t="s">
        <v>104</v>
      </c>
      <c r="F792" s="6" t="s">
        <v>105</v>
      </c>
      <c r="G792" s="6">
        <v>3.0</v>
      </c>
      <c r="H792" s="6">
        <v>229.5</v>
      </c>
      <c r="I792" s="6">
        <v>362.24</v>
      </c>
      <c r="J792" s="6">
        <v>21.13</v>
      </c>
      <c r="K792" s="6" t="s">
        <v>24</v>
      </c>
      <c r="L792" s="6" t="s">
        <v>25</v>
      </c>
      <c r="M792" s="6">
        <f t="shared" si="1"/>
        <v>688.5</v>
      </c>
      <c r="N792" s="6">
        <f t="shared" si="2"/>
        <v>857.096064</v>
      </c>
      <c r="O792" s="6">
        <f t="shared" si="3"/>
        <v>168.596064</v>
      </c>
      <c r="P792" s="7">
        <f t="shared" si="4"/>
        <v>0.1967061466</v>
      </c>
      <c r="Q792" s="6" t="s">
        <v>49</v>
      </c>
      <c r="R792" s="8">
        <f t="shared" si="5"/>
        <v>229.623936</v>
      </c>
    </row>
    <row r="793" ht="14.25" customHeight="1">
      <c r="A793" s="6" t="s">
        <v>2086</v>
      </c>
      <c r="B793" s="6" t="s">
        <v>998</v>
      </c>
      <c r="C793" s="6" t="s">
        <v>2087</v>
      </c>
      <c r="D793" s="6" t="s">
        <v>30</v>
      </c>
      <c r="E793" s="6" t="s">
        <v>22</v>
      </c>
      <c r="F793" s="6" t="s">
        <v>23</v>
      </c>
      <c r="G793" s="6">
        <v>3.0</v>
      </c>
      <c r="H793" s="6">
        <v>316.48</v>
      </c>
      <c r="I793" s="6">
        <v>575.45</v>
      </c>
      <c r="J793" s="6">
        <v>15.19</v>
      </c>
      <c r="K793" s="6" t="s">
        <v>44</v>
      </c>
      <c r="L793" s="6" t="s">
        <v>25</v>
      </c>
      <c r="M793" s="6">
        <f t="shared" si="1"/>
        <v>949.44</v>
      </c>
      <c r="N793" s="6">
        <f t="shared" si="2"/>
        <v>1464.117435</v>
      </c>
      <c r="O793" s="6">
        <f t="shared" si="3"/>
        <v>514.677435</v>
      </c>
      <c r="P793" s="7">
        <f t="shared" si="4"/>
        <v>0.3515274272</v>
      </c>
      <c r="Q793" s="6" t="s">
        <v>76</v>
      </c>
      <c r="R793" s="8">
        <f t="shared" si="5"/>
        <v>262.232565</v>
      </c>
    </row>
    <row r="794" ht="14.25" customHeight="1">
      <c r="A794" s="6" t="s">
        <v>2088</v>
      </c>
      <c r="B794" s="6" t="s">
        <v>784</v>
      </c>
      <c r="C794" s="6" t="s">
        <v>2089</v>
      </c>
      <c r="D794" s="6" t="s">
        <v>70</v>
      </c>
      <c r="E794" s="6" t="s">
        <v>87</v>
      </c>
      <c r="F794" s="6" t="s">
        <v>88</v>
      </c>
      <c r="G794" s="6">
        <v>4.0</v>
      </c>
      <c r="H794" s="6">
        <v>250.99</v>
      </c>
      <c r="I794" s="6">
        <v>396.19</v>
      </c>
      <c r="J794" s="6">
        <v>8.04</v>
      </c>
      <c r="K794" s="6" t="s">
        <v>44</v>
      </c>
      <c r="L794" s="6" t="s">
        <v>25</v>
      </c>
      <c r="M794" s="6">
        <f t="shared" si="1"/>
        <v>1003.96</v>
      </c>
      <c r="N794" s="6">
        <f t="shared" si="2"/>
        <v>1457.345296</v>
      </c>
      <c r="O794" s="6">
        <f t="shared" si="3"/>
        <v>453.385296</v>
      </c>
      <c r="P794" s="7">
        <f t="shared" si="4"/>
        <v>0.3111035506</v>
      </c>
      <c r="Q794" s="6" t="s">
        <v>34</v>
      </c>
      <c r="R794" s="8">
        <f t="shared" si="5"/>
        <v>127.414704</v>
      </c>
    </row>
    <row r="795" ht="14.25" customHeight="1">
      <c r="A795" s="6" t="s">
        <v>2090</v>
      </c>
      <c r="B795" s="6" t="s">
        <v>2091</v>
      </c>
      <c r="C795" s="6" t="s">
        <v>2092</v>
      </c>
      <c r="D795" s="6" t="s">
        <v>70</v>
      </c>
      <c r="E795" s="6" t="s">
        <v>87</v>
      </c>
      <c r="F795" s="6" t="s">
        <v>88</v>
      </c>
      <c r="G795" s="6">
        <v>3.0</v>
      </c>
      <c r="H795" s="6">
        <v>199.58</v>
      </c>
      <c r="I795" s="6">
        <v>275.39</v>
      </c>
      <c r="J795" s="6">
        <v>5.95</v>
      </c>
      <c r="K795" s="6" t="s">
        <v>24</v>
      </c>
      <c r="L795" s="6" t="s">
        <v>33</v>
      </c>
      <c r="M795" s="6">
        <f t="shared" si="1"/>
        <v>598.74</v>
      </c>
      <c r="N795" s="6">
        <f t="shared" si="2"/>
        <v>777.012885</v>
      </c>
      <c r="O795" s="6">
        <f t="shared" si="3"/>
        <v>178.272885</v>
      </c>
      <c r="P795" s="7">
        <f t="shared" si="4"/>
        <v>0.2294336277</v>
      </c>
      <c r="Q795" s="6" t="s">
        <v>40</v>
      </c>
      <c r="R795" s="8">
        <f t="shared" si="5"/>
        <v>49.157115</v>
      </c>
    </row>
    <row r="796" ht="14.25" customHeight="1">
      <c r="A796" s="6" t="s">
        <v>2093</v>
      </c>
      <c r="B796" s="6" t="s">
        <v>2094</v>
      </c>
      <c r="C796" s="6" t="s">
        <v>2095</v>
      </c>
      <c r="D796" s="6" t="s">
        <v>21</v>
      </c>
      <c r="E796" s="6" t="s">
        <v>38</v>
      </c>
      <c r="F796" s="6" t="s">
        <v>71</v>
      </c>
      <c r="G796" s="6">
        <v>7.0</v>
      </c>
      <c r="H796" s="6">
        <v>161.54</v>
      </c>
      <c r="I796" s="6">
        <v>227.48</v>
      </c>
      <c r="J796" s="6">
        <v>7.8</v>
      </c>
      <c r="K796" s="6" t="s">
        <v>24</v>
      </c>
      <c r="L796" s="6" t="s">
        <v>55</v>
      </c>
      <c r="M796" s="6">
        <f t="shared" si="1"/>
        <v>1130.78</v>
      </c>
      <c r="N796" s="6">
        <f t="shared" si="2"/>
        <v>1468.15592</v>
      </c>
      <c r="O796" s="6">
        <f t="shared" si="3"/>
        <v>337.37592</v>
      </c>
      <c r="P796" s="7">
        <f t="shared" si="4"/>
        <v>0.2297957018</v>
      </c>
      <c r="Q796" s="6" t="s">
        <v>34</v>
      </c>
      <c r="R796" s="8">
        <f t="shared" si="5"/>
        <v>124.20408</v>
      </c>
    </row>
    <row r="797" ht="14.25" customHeight="1">
      <c r="A797" s="6" t="s">
        <v>2096</v>
      </c>
      <c r="B797" s="6" t="s">
        <v>2097</v>
      </c>
      <c r="C797" s="6" t="s">
        <v>2098</v>
      </c>
      <c r="D797" s="6" t="s">
        <v>48</v>
      </c>
      <c r="E797" s="6" t="s">
        <v>31</v>
      </c>
      <c r="F797" s="6" t="s">
        <v>32</v>
      </c>
      <c r="G797" s="6">
        <v>1.0</v>
      </c>
      <c r="H797" s="6">
        <v>216.34</v>
      </c>
      <c r="I797" s="6">
        <v>293.65</v>
      </c>
      <c r="J797" s="6">
        <v>5.94</v>
      </c>
      <c r="K797" s="6" t="s">
        <v>24</v>
      </c>
      <c r="L797" s="6" t="s">
        <v>61</v>
      </c>
      <c r="M797" s="6">
        <f t="shared" si="1"/>
        <v>216.34</v>
      </c>
      <c r="N797" s="6">
        <f t="shared" si="2"/>
        <v>276.20719</v>
      </c>
      <c r="O797" s="6">
        <f t="shared" si="3"/>
        <v>59.86719</v>
      </c>
      <c r="P797" s="7">
        <f t="shared" si="4"/>
        <v>0.2167473989</v>
      </c>
      <c r="Q797" s="6" t="s">
        <v>76</v>
      </c>
      <c r="R797" s="8">
        <f t="shared" si="5"/>
        <v>17.44281</v>
      </c>
    </row>
    <row r="798" ht="14.25" customHeight="1">
      <c r="A798" s="6" t="s">
        <v>2099</v>
      </c>
      <c r="B798" s="6" t="s">
        <v>1388</v>
      </c>
      <c r="C798" s="6" t="s">
        <v>2100</v>
      </c>
      <c r="D798" s="6" t="s">
        <v>30</v>
      </c>
      <c r="E798" s="6" t="s">
        <v>38</v>
      </c>
      <c r="F798" s="6" t="s">
        <v>71</v>
      </c>
      <c r="G798" s="6">
        <v>3.0</v>
      </c>
      <c r="H798" s="6">
        <v>346.08</v>
      </c>
      <c r="I798" s="6">
        <v>580.44</v>
      </c>
      <c r="J798" s="6">
        <v>5.15</v>
      </c>
      <c r="K798" s="6" t="s">
        <v>24</v>
      </c>
      <c r="L798" s="6" t="s">
        <v>61</v>
      </c>
      <c r="M798" s="6">
        <f t="shared" si="1"/>
        <v>1038.24</v>
      </c>
      <c r="N798" s="6">
        <f t="shared" si="2"/>
        <v>1651.64202</v>
      </c>
      <c r="O798" s="6">
        <f t="shared" si="3"/>
        <v>613.40202</v>
      </c>
      <c r="P798" s="7">
        <f t="shared" si="4"/>
        <v>0.371389207</v>
      </c>
      <c r="Q798" s="6" t="s">
        <v>26</v>
      </c>
      <c r="R798" s="8">
        <f t="shared" si="5"/>
        <v>89.67798</v>
      </c>
    </row>
    <row r="799" ht="14.25" customHeight="1">
      <c r="A799" s="6" t="s">
        <v>2101</v>
      </c>
      <c r="B799" s="6" t="s">
        <v>206</v>
      </c>
      <c r="C799" s="6" t="s">
        <v>2102</v>
      </c>
      <c r="D799" s="6" t="s">
        <v>48</v>
      </c>
      <c r="E799" s="6" t="s">
        <v>104</v>
      </c>
      <c r="F799" s="6" t="s">
        <v>105</v>
      </c>
      <c r="G799" s="6">
        <v>1.0</v>
      </c>
      <c r="H799" s="6">
        <v>179.61</v>
      </c>
      <c r="I799" s="6">
        <v>332.23</v>
      </c>
      <c r="J799" s="6">
        <v>22.38</v>
      </c>
      <c r="K799" s="6" t="s">
        <v>24</v>
      </c>
      <c r="L799" s="6" t="s">
        <v>61</v>
      </c>
      <c r="M799" s="6">
        <f t="shared" si="1"/>
        <v>179.61</v>
      </c>
      <c r="N799" s="6">
        <f t="shared" si="2"/>
        <v>257.876926</v>
      </c>
      <c r="O799" s="6">
        <f t="shared" si="3"/>
        <v>78.266926</v>
      </c>
      <c r="P799" s="7">
        <f t="shared" si="4"/>
        <v>0.3035049596</v>
      </c>
      <c r="Q799" s="6" t="s">
        <v>76</v>
      </c>
      <c r="R799" s="8">
        <f t="shared" si="5"/>
        <v>74.353074</v>
      </c>
    </row>
    <row r="800" ht="14.25" customHeight="1">
      <c r="A800" s="6" t="s">
        <v>2103</v>
      </c>
      <c r="B800" s="6" t="s">
        <v>2104</v>
      </c>
      <c r="C800" s="6" t="s">
        <v>2105</v>
      </c>
      <c r="D800" s="6" t="s">
        <v>64</v>
      </c>
      <c r="E800" s="6" t="s">
        <v>65</v>
      </c>
      <c r="F800" s="6" t="s">
        <v>66</v>
      </c>
      <c r="G800" s="6">
        <v>8.0</v>
      </c>
      <c r="H800" s="6">
        <v>289.04</v>
      </c>
      <c r="I800" s="6">
        <v>388.55</v>
      </c>
      <c r="J800" s="6">
        <v>21.05</v>
      </c>
      <c r="K800" s="6" t="s">
        <v>24</v>
      </c>
      <c r="L800" s="6" t="s">
        <v>33</v>
      </c>
      <c r="M800" s="6">
        <f t="shared" si="1"/>
        <v>2312.32</v>
      </c>
      <c r="N800" s="6">
        <f t="shared" si="2"/>
        <v>2454.0818</v>
      </c>
      <c r="O800" s="6">
        <f t="shared" si="3"/>
        <v>141.7618</v>
      </c>
      <c r="P800" s="7">
        <f t="shared" si="4"/>
        <v>0.05776571914</v>
      </c>
      <c r="Q800" s="6" t="s">
        <v>40</v>
      </c>
      <c r="R800" s="8">
        <f t="shared" si="5"/>
        <v>654.3182</v>
      </c>
    </row>
    <row r="801" ht="14.25" customHeight="1">
      <c r="A801" s="6" t="s">
        <v>2106</v>
      </c>
      <c r="B801" s="6" t="s">
        <v>1827</v>
      </c>
      <c r="C801" s="6" t="s">
        <v>2107</v>
      </c>
      <c r="D801" s="6" t="s">
        <v>48</v>
      </c>
      <c r="E801" s="6" t="s">
        <v>87</v>
      </c>
      <c r="F801" s="6" t="s">
        <v>88</v>
      </c>
      <c r="G801" s="6">
        <v>3.0</v>
      </c>
      <c r="H801" s="6">
        <v>80.35</v>
      </c>
      <c r="I801" s="6">
        <v>106.27</v>
      </c>
      <c r="J801" s="6">
        <v>9.82</v>
      </c>
      <c r="K801" s="6" t="s">
        <v>44</v>
      </c>
      <c r="L801" s="6" t="s">
        <v>33</v>
      </c>
      <c r="M801" s="6">
        <f t="shared" si="1"/>
        <v>241.05</v>
      </c>
      <c r="N801" s="6">
        <f t="shared" si="2"/>
        <v>287.502858</v>
      </c>
      <c r="O801" s="6">
        <f t="shared" si="3"/>
        <v>46.452858</v>
      </c>
      <c r="P801" s="7">
        <f t="shared" si="4"/>
        <v>0.1615735521</v>
      </c>
      <c r="Q801" s="6" t="s">
        <v>34</v>
      </c>
      <c r="R801" s="8">
        <f t="shared" si="5"/>
        <v>31.307142</v>
      </c>
    </row>
    <row r="802" ht="14.25" customHeight="1">
      <c r="A802" s="6" t="s">
        <v>2108</v>
      </c>
      <c r="B802" s="6" t="s">
        <v>2109</v>
      </c>
      <c r="C802" s="6" t="s">
        <v>2107</v>
      </c>
      <c r="D802" s="6" t="s">
        <v>48</v>
      </c>
      <c r="E802" s="6" t="s">
        <v>65</v>
      </c>
      <c r="F802" s="6" t="s">
        <v>66</v>
      </c>
      <c r="G802" s="6">
        <v>7.0</v>
      </c>
      <c r="H802" s="6">
        <v>164.22</v>
      </c>
      <c r="I802" s="6">
        <v>273.87</v>
      </c>
      <c r="J802" s="6">
        <v>8.78</v>
      </c>
      <c r="K802" s="6" t="s">
        <v>44</v>
      </c>
      <c r="L802" s="6" t="s">
        <v>33</v>
      </c>
      <c r="M802" s="6">
        <f t="shared" si="1"/>
        <v>1149.54</v>
      </c>
      <c r="N802" s="6">
        <f t="shared" si="2"/>
        <v>1748.769498</v>
      </c>
      <c r="O802" s="6">
        <f t="shared" si="3"/>
        <v>599.229498</v>
      </c>
      <c r="P802" s="7">
        <f t="shared" si="4"/>
        <v>0.3426577938</v>
      </c>
      <c r="Q802" s="6" t="s">
        <v>34</v>
      </c>
      <c r="R802" s="8">
        <f t="shared" si="5"/>
        <v>168.320502</v>
      </c>
    </row>
    <row r="803" ht="14.25" customHeight="1">
      <c r="A803" s="6" t="s">
        <v>2110</v>
      </c>
      <c r="B803" s="6" t="s">
        <v>2111</v>
      </c>
      <c r="C803" s="6" t="s">
        <v>2112</v>
      </c>
      <c r="D803" s="6" t="s">
        <v>48</v>
      </c>
      <c r="E803" s="6" t="s">
        <v>59</v>
      </c>
      <c r="F803" s="6" t="s">
        <v>60</v>
      </c>
      <c r="G803" s="6">
        <v>3.0</v>
      </c>
      <c r="H803" s="6">
        <v>362.48</v>
      </c>
      <c r="I803" s="6">
        <v>446.43</v>
      </c>
      <c r="J803" s="6">
        <v>15.74</v>
      </c>
      <c r="K803" s="6" t="s">
        <v>24</v>
      </c>
      <c r="L803" s="6" t="s">
        <v>55</v>
      </c>
      <c r="M803" s="6">
        <f t="shared" si="1"/>
        <v>1087.44</v>
      </c>
      <c r="N803" s="6">
        <f t="shared" si="2"/>
        <v>1128.485754</v>
      </c>
      <c r="O803" s="6">
        <f t="shared" si="3"/>
        <v>41.045754</v>
      </c>
      <c r="P803" s="7">
        <f t="shared" si="4"/>
        <v>0.03637241663</v>
      </c>
      <c r="Q803" s="6" t="s">
        <v>40</v>
      </c>
      <c r="R803" s="8">
        <f t="shared" si="5"/>
        <v>210.804246</v>
      </c>
    </row>
    <row r="804" ht="14.25" customHeight="1">
      <c r="A804" s="6" t="s">
        <v>2113</v>
      </c>
      <c r="B804" s="6" t="s">
        <v>2114</v>
      </c>
      <c r="C804" s="6" t="s">
        <v>2115</v>
      </c>
      <c r="D804" s="6" t="s">
        <v>83</v>
      </c>
      <c r="E804" s="6" t="s">
        <v>38</v>
      </c>
      <c r="F804" s="6" t="s">
        <v>39</v>
      </c>
      <c r="G804" s="6">
        <v>2.0</v>
      </c>
      <c r="H804" s="6">
        <v>46.06</v>
      </c>
      <c r="I804" s="6">
        <v>86.22</v>
      </c>
      <c r="J804" s="6">
        <v>2.6</v>
      </c>
      <c r="K804" s="6" t="s">
        <v>44</v>
      </c>
      <c r="L804" s="6" t="s">
        <v>55</v>
      </c>
      <c r="M804" s="6">
        <f t="shared" si="1"/>
        <v>92.12</v>
      </c>
      <c r="N804" s="6">
        <f t="shared" si="2"/>
        <v>167.95656</v>
      </c>
      <c r="O804" s="6">
        <f t="shared" si="3"/>
        <v>75.83656</v>
      </c>
      <c r="P804" s="7">
        <f t="shared" si="4"/>
        <v>0.4515248467</v>
      </c>
      <c r="Q804" s="6" t="s">
        <v>40</v>
      </c>
      <c r="R804" s="8">
        <f t="shared" si="5"/>
        <v>4.48344</v>
      </c>
    </row>
    <row r="805" ht="14.25" customHeight="1">
      <c r="A805" s="6" t="s">
        <v>2116</v>
      </c>
      <c r="B805" s="6" t="s">
        <v>747</v>
      </c>
      <c r="C805" s="6" t="s">
        <v>2117</v>
      </c>
      <c r="D805" s="6" t="s">
        <v>21</v>
      </c>
      <c r="E805" s="6" t="s">
        <v>59</v>
      </c>
      <c r="F805" s="6" t="s">
        <v>60</v>
      </c>
      <c r="G805" s="6">
        <v>3.0</v>
      </c>
      <c r="H805" s="6">
        <v>215.97</v>
      </c>
      <c r="I805" s="6">
        <v>264.05</v>
      </c>
      <c r="J805" s="6">
        <v>6.87</v>
      </c>
      <c r="K805" s="6" t="s">
        <v>44</v>
      </c>
      <c r="L805" s="6" t="s">
        <v>33</v>
      </c>
      <c r="M805" s="6">
        <f t="shared" si="1"/>
        <v>647.91</v>
      </c>
      <c r="N805" s="6">
        <f t="shared" si="2"/>
        <v>737.729295</v>
      </c>
      <c r="O805" s="6">
        <f t="shared" si="3"/>
        <v>89.819295</v>
      </c>
      <c r="P805" s="7">
        <f t="shared" si="4"/>
        <v>0.1217510212</v>
      </c>
      <c r="Q805" s="6" t="s">
        <v>40</v>
      </c>
      <c r="R805" s="8">
        <f t="shared" si="5"/>
        <v>54.420705</v>
      </c>
    </row>
    <row r="806" ht="14.25" customHeight="1">
      <c r="A806" s="6" t="s">
        <v>2118</v>
      </c>
      <c r="B806" s="6" t="s">
        <v>2119</v>
      </c>
      <c r="C806" s="6" t="s">
        <v>2120</v>
      </c>
      <c r="D806" s="6" t="s">
        <v>83</v>
      </c>
      <c r="E806" s="6" t="s">
        <v>38</v>
      </c>
      <c r="F806" s="6" t="s">
        <v>39</v>
      </c>
      <c r="G806" s="6">
        <v>2.0</v>
      </c>
      <c r="H806" s="6">
        <v>322.5</v>
      </c>
      <c r="I806" s="6">
        <v>393.99</v>
      </c>
      <c r="J806" s="6">
        <v>18.47</v>
      </c>
      <c r="K806" s="6" t="s">
        <v>44</v>
      </c>
      <c r="L806" s="6" t="s">
        <v>55</v>
      </c>
      <c r="M806" s="6">
        <f t="shared" si="1"/>
        <v>645</v>
      </c>
      <c r="N806" s="6">
        <f t="shared" si="2"/>
        <v>642.440094</v>
      </c>
      <c r="O806" s="6">
        <f t="shared" si="3"/>
        <v>-2.559906</v>
      </c>
      <c r="P806" s="7">
        <f t="shared" si="4"/>
        <v>-0.00398466102</v>
      </c>
      <c r="Q806" s="6" t="s">
        <v>76</v>
      </c>
      <c r="R806" s="8">
        <f t="shared" si="5"/>
        <v>145.539906</v>
      </c>
    </row>
    <row r="807" ht="14.25" customHeight="1">
      <c r="A807" s="6" t="s">
        <v>2121</v>
      </c>
      <c r="B807" s="6" t="s">
        <v>2122</v>
      </c>
      <c r="C807" s="6" t="s">
        <v>2123</v>
      </c>
      <c r="D807" s="6" t="s">
        <v>30</v>
      </c>
      <c r="E807" s="6" t="s">
        <v>22</v>
      </c>
      <c r="F807" s="6" t="s">
        <v>23</v>
      </c>
      <c r="G807" s="6">
        <v>7.0</v>
      </c>
      <c r="H807" s="6">
        <v>168.68</v>
      </c>
      <c r="I807" s="6">
        <v>289.7</v>
      </c>
      <c r="J807" s="6">
        <v>11.48</v>
      </c>
      <c r="K807" s="6" t="s">
        <v>24</v>
      </c>
      <c r="L807" s="6" t="s">
        <v>61</v>
      </c>
      <c r="M807" s="6">
        <f t="shared" si="1"/>
        <v>1180.76</v>
      </c>
      <c r="N807" s="6">
        <f t="shared" si="2"/>
        <v>1795.09708</v>
      </c>
      <c r="O807" s="6">
        <f t="shared" si="3"/>
        <v>614.33708</v>
      </c>
      <c r="P807" s="7">
        <f t="shared" si="4"/>
        <v>0.3422305606</v>
      </c>
      <c r="Q807" s="6" t="s">
        <v>40</v>
      </c>
      <c r="R807" s="8">
        <f t="shared" si="5"/>
        <v>232.80292</v>
      </c>
    </row>
    <row r="808" ht="14.25" customHeight="1">
      <c r="A808" s="6" t="s">
        <v>2124</v>
      </c>
      <c r="B808" s="6" t="s">
        <v>435</v>
      </c>
      <c r="C808" s="6" t="s">
        <v>2125</v>
      </c>
      <c r="D808" s="6" t="s">
        <v>64</v>
      </c>
      <c r="E808" s="6" t="s">
        <v>65</v>
      </c>
      <c r="F808" s="6" t="s">
        <v>66</v>
      </c>
      <c r="G808" s="6">
        <v>8.0</v>
      </c>
      <c r="H808" s="6">
        <v>58.27</v>
      </c>
      <c r="I808" s="6">
        <v>115.11</v>
      </c>
      <c r="J808" s="6">
        <v>22.8</v>
      </c>
      <c r="K808" s="6" t="s">
        <v>44</v>
      </c>
      <c r="L808" s="6" t="s">
        <v>25</v>
      </c>
      <c r="M808" s="6">
        <f t="shared" si="1"/>
        <v>466.16</v>
      </c>
      <c r="N808" s="6">
        <f t="shared" si="2"/>
        <v>710.91936</v>
      </c>
      <c r="O808" s="6">
        <f t="shared" si="3"/>
        <v>244.75936</v>
      </c>
      <c r="P808" s="7">
        <f t="shared" si="4"/>
        <v>0.3442856866</v>
      </c>
      <c r="Q808" s="6" t="s">
        <v>76</v>
      </c>
      <c r="R808" s="8">
        <f t="shared" si="5"/>
        <v>209.96064</v>
      </c>
    </row>
    <row r="809" ht="14.25" customHeight="1">
      <c r="A809" s="6" t="s">
        <v>2126</v>
      </c>
      <c r="B809" s="6" t="s">
        <v>2127</v>
      </c>
      <c r="C809" s="6" t="s">
        <v>2128</v>
      </c>
      <c r="D809" s="6" t="s">
        <v>48</v>
      </c>
      <c r="E809" s="6" t="s">
        <v>53</v>
      </c>
      <c r="F809" s="6" t="s">
        <v>54</v>
      </c>
      <c r="G809" s="6">
        <v>3.0</v>
      </c>
      <c r="H809" s="6">
        <v>183.87</v>
      </c>
      <c r="I809" s="6">
        <v>301.76</v>
      </c>
      <c r="J809" s="6">
        <v>15.13</v>
      </c>
      <c r="K809" s="6" t="s">
        <v>44</v>
      </c>
      <c r="L809" s="6" t="s">
        <v>33</v>
      </c>
      <c r="M809" s="6">
        <f t="shared" si="1"/>
        <v>551.61</v>
      </c>
      <c r="N809" s="6">
        <f t="shared" si="2"/>
        <v>768.311136</v>
      </c>
      <c r="O809" s="6">
        <f t="shared" si="3"/>
        <v>216.701136</v>
      </c>
      <c r="P809" s="7">
        <f t="shared" si="4"/>
        <v>0.2820486725</v>
      </c>
      <c r="Q809" s="6" t="s">
        <v>76</v>
      </c>
      <c r="R809" s="8">
        <f t="shared" si="5"/>
        <v>136.968864</v>
      </c>
    </row>
    <row r="810" ht="14.25" customHeight="1">
      <c r="A810" s="6" t="s">
        <v>2129</v>
      </c>
      <c r="B810" s="6" t="s">
        <v>2130</v>
      </c>
      <c r="C810" s="6" t="s">
        <v>2131</v>
      </c>
      <c r="D810" s="6" t="s">
        <v>48</v>
      </c>
      <c r="E810" s="6" t="s">
        <v>38</v>
      </c>
      <c r="F810" s="6" t="s">
        <v>71</v>
      </c>
      <c r="G810" s="6">
        <v>5.0</v>
      </c>
      <c r="H810" s="6">
        <v>395.42</v>
      </c>
      <c r="I810" s="6">
        <v>536.11</v>
      </c>
      <c r="J810" s="6">
        <v>22.48</v>
      </c>
      <c r="K810" s="6" t="s">
        <v>44</v>
      </c>
      <c r="L810" s="6" t="s">
        <v>55</v>
      </c>
      <c r="M810" s="6">
        <f t="shared" si="1"/>
        <v>1977.1</v>
      </c>
      <c r="N810" s="6">
        <f t="shared" si="2"/>
        <v>2077.96236</v>
      </c>
      <c r="O810" s="6">
        <f t="shared" si="3"/>
        <v>100.86236</v>
      </c>
      <c r="P810" s="7">
        <f t="shared" si="4"/>
        <v>0.04853906978</v>
      </c>
      <c r="Q810" s="6" t="s">
        <v>40</v>
      </c>
      <c r="R810" s="8">
        <f t="shared" si="5"/>
        <v>602.58764</v>
      </c>
    </row>
    <row r="811" ht="14.25" customHeight="1">
      <c r="A811" s="6" t="s">
        <v>2132</v>
      </c>
      <c r="B811" s="6" t="s">
        <v>336</v>
      </c>
      <c r="C811" s="6" t="s">
        <v>2133</v>
      </c>
      <c r="D811" s="6" t="s">
        <v>83</v>
      </c>
      <c r="E811" s="6" t="s">
        <v>65</v>
      </c>
      <c r="F811" s="6" t="s">
        <v>66</v>
      </c>
      <c r="G811" s="6">
        <v>6.0</v>
      </c>
      <c r="H811" s="6">
        <v>194.95</v>
      </c>
      <c r="I811" s="6">
        <v>279.08</v>
      </c>
      <c r="J811" s="6">
        <v>15.13</v>
      </c>
      <c r="K811" s="6" t="s">
        <v>24</v>
      </c>
      <c r="L811" s="6" t="s">
        <v>61</v>
      </c>
      <c r="M811" s="6">
        <f t="shared" si="1"/>
        <v>1169.7</v>
      </c>
      <c r="N811" s="6">
        <f t="shared" si="2"/>
        <v>1421.131176</v>
      </c>
      <c r="O811" s="6">
        <f t="shared" si="3"/>
        <v>251.431176</v>
      </c>
      <c r="P811" s="7">
        <f t="shared" si="4"/>
        <v>0.1769232709</v>
      </c>
      <c r="Q811" s="6" t="s">
        <v>49</v>
      </c>
      <c r="R811" s="8">
        <f t="shared" si="5"/>
        <v>253.348824</v>
      </c>
    </row>
    <row r="812" ht="14.25" customHeight="1">
      <c r="A812" s="6" t="s">
        <v>2134</v>
      </c>
      <c r="B812" s="6" t="s">
        <v>668</v>
      </c>
      <c r="C812" s="6" t="s">
        <v>2135</v>
      </c>
      <c r="D812" s="6" t="s">
        <v>64</v>
      </c>
      <c r="E812" s="6" t="s">
        <v>53</v>
      </c>
      <c r="F812" s="6" t="s">
        <v>54</v>
      </c>
      <c r="G812" s="6">
        <v>7.0</v>
      </c>
      <c r="H812" s="6">
        <v>266.31</v>
      </c>
      <c r="I812" s="6">
        <v>404.09</v>
      </c>
      <c r="J812" s="6">
        <v>10.6</v>
      </c>
      <c r="K812" s="6" t="s">
        <v>24</v>
      </c>
      <c r="L812" s="6" t="s">
        <v>33</v>
      </c>
      <c r="M812" s="6">
        <f t="shared" si="1"/>
        <v>1864.17</v>
      </c>
      <c r="N812" s="6">
        <f t="shared" si="2"/>
        <v>2528.79522</v>
      </c>
      <c r="O812" s="6">
        <f t="shared" si="3"/>
        <v>664.62522</v>
      </c>
      <c r="P812" s="7">
        <f t="shared" si="4"/>
        <v>0.262822871</v>
      </c>
      <c r="Q812" s="6" t="s">
        <v>76</v>
      </c>
      <c r="R812" s="8">
        <f t="shared" si="5"/>
        <v>299.83478</v>
      </c>
    </row>
    <row r="813" ht="14.25" customHeight="1">
      <c r="A813" s="6" t="s">
        <v>2136</v>
      </c>
      <c r="B813" s="6" t="s">
        <v>2137</v>
      </c>
      <c r="C813" s="6" t="s">
        <v>2138</v>
      </c>
      <c r="D813" s="6" t="s">
        <v>48</v>
      </c>
      <c r="E813" s="6" t="s">
        <v>22</v>
      </c>
      <c r="F813" s="6" t="s">
        <v>23</v>
      </c>
      <c r="G813" s="6">
        <v>4.0</v>
      </c>
      <c r="H813" s="6">
        <v>161.38</v>
      </c>
      <c r="I813" s="6">
        <v>268.51</v>
      </c>
      <c r="J813" s="6">
        <v>9.66</v>
      </c>
      <c r="K813" s="6" t="s">
        <v>24</v>
      </c>
      <c r="L813" s="6" t="s">
        <v>25</v>
      </c>
      <c r="M813" s="6">
        <f t="shared" si="1"/>
        <v>645.52</v>
      </c>
      <c r="N813" s="6">
        <f t="shared" si="2"/>
        <v>970.287736</v>
      </c>
      <c r="O813" s="6">
        <f t="shared" si="3"/>
        <v>324.767736</v>
      </c>
      <c r="P813" s="7">
        <f t="shared" si="4"/>
        <v>0.3347128114</v>
      </c>
      <c r="Q813" s="6" t="s">
        <v>76</v>
      </c>
      <c r="R813" s="8">
        <f t="shared" si="5"/>
        <v>103.752264</v>
      </c>
    </row>
    <row r="814" ht="14.25" customHeight="1">
      <c r="A814" s="6" t="s">
        <v>2139</v>
      </c>
      <c r="B814" s="6" t="s">
        <v>1781</v>
      </c>
      <c r="C814" s="6" t="s">
        <v>2140</v>
      </c>
      <c r="D814" s="6" t="s">
        <v>83</v>
      </c>
      <c r="E814" s="6" t="s">
        <v>65</v>
      </c>
      <c r="F814" s="6" t="s">
        <v>66</v>
      </c>
      <c r="G814" s="6">
        <v>7.0</v>
      </c>
      <c r="H814" s="6">
        <v>89.29</v>
      </c>
      <c r="I814" s="6">
        <v>142.78</v>
      </c>
      <c r="J814" s="6">
        <v>19.26</v>
      </c>
      <c r="K814" s="6" t="s">
        <v>24</v>
      </c>
      <c r="L814" s="6" t="s">
        <v>55</v>
      </c>
      <c r="M814" s="6">
        <f t="shared" si="1"/>
        <v>625.03</v>
      </c>
      <c r="N814" s="6">
        <f t="shared" si="2"/>
        <v>806.964004</v>
      </c>
      <c r="O814" s="6">
        <f t="shared" si="3"/>
        <v>181.934004</v>
      </c>
      <c r="P814" s="7">
        <f t="shared" si="4"/>
        <v>0.2254549188</v>
      </c>
      <c r="Q814" s="6" t="s">
        <v>49</v>
      </c>
      <c r="R814" s="8">
        <f t="shared" si="5"/>
        <v>192.495996</v>
      </c>
    </row>
    <row r="815" ht="14.25" customHeight="1">
      <c r="A815" s="6" t="s">
        <v>2141</v>
      </c>
      <c r="B815" s="6" t="s">
        <v>2142</v>
      </c>
      <c r="C815" s="6" t="s">
        <v>2140</v>
      </c>
      <c r="D815" s="6" t="s">
        <v>48</v>
      </c>
      <c r="E815" s="6" t="s">
        <v>22</v>
      </c>
      <c r="F815" s="6" t="s">
        <v>23</v>
      </c>
      <c r="G815" s="6">
        <v>5.0</v>
      </c>
      <c r="H815" s="6">
        <v>438.38</v>
      </c>
      <c r="I815" s="6">
        <v>574.55</v>
      </c>
      <c r="J815" s="6">
        <v>6.21</v>
      </c>
      <c r="K815" s="6" t="s">
        <v>24</v>
      </c>
      <c r="L815" s="6" t="s">
        <v>61</v>
      </c>
      <c r="M815" s="6">
        <f t="shared" si="1"/>
        <v>2191.9</v>
      </c>
      <c r="N815" s="6">
        <f t="shared" si="2"/>
        <v>2694.352225</v>
      </c>
      <c r="O815" s="6">
        <f t="shared" si="3"/>
        <v>502.452225</v>
      </c>
      <c r="P815" s="7">
        <f t="shared" si="4"/>
        <v>0.186483497</v>
      </c>
      <c r="Q815" s="6" t="s">
        <v>76</v>
      </c>
      <c r="R815" s="8">
        <f t="shared" si="5"/>
        <v>178.397775</v>
      </c>
    </row>
    <row r="816" ht="14.25" customHeight="1">
      <c r="A816" s="6" t="s">
        <v>2143</v>
      </c>
      <c r="B816" s="6" t="s">
        <v>2144</v>
      </c>
      <c r="C816" s="6" t="s">
        <v>2145</v>
      </c>
      <c r="D816" s="6" t="s">
        <v>83</v>
      </c>
      <c r="E816" s="6" t="s">
        <v>65</v>
      </c>
      <c r="F816" s="6" t="s">
        <v>66</v>
      </c>
      <c r="G816" s="6">
        <v>2.0</v>
      </c>
      <c r="H816" s="6">
        <v>344.15</v>
      </c>
      <c r="I816" s="6">
        <v>532.62</v>
      </c>
      <c r="J816" s="6">
        <v>14.33</v>
      </c>
      <c r="K816" s="6" t="s">
        <v>24</v>
      </c>
      <c r="L816" s="6" t="s">
        <v>61</v>
      </c>
      <c r="M816" s="6">
        <f t="shared" si="1"/>
        <v>688.3</v>
      </c>
      <c r="N816" s="6">
        <f t="shared" si="2"/>
        <v>912.591108</v>
      </c>
      <c r="O816" s="6">
        <f t="shared" si="3"/>
        <v>224.291108</v>
      </c>
      <c r="P816" s="7">
        <f t="shared" si="4"/>
        <v>0.2457739354</v>
      </c>
      <c r="Q816" s="6" t="s">
        <v>26</v>
      </c>
      <c r="R816" s="8">
        <f t="shared" si="5"/>
        <v>152.648892</v>
      </c>
    </row>
    <row r="817" ht="14.25" customHeight="1">
      <c r="A817" s="6" t="s">
        <v>2146</v>
      </c>
      <c r="B817" s="6" t="s">
        <v>2147</v>
      </c>
      <c r="C817" s="6" t="s">
        <v>2148</v>
      </c>
      <c r="D817" s="6" t="s">
        <v>83</v>
      </c>
      <c r="E817" s="6" t="s">
        <v>22</v>
      </c>
      <c r="F817" s="6" t="s">
        <v>23</v>
      </c>
      <c r="G817" s="6">
        <v>6.0</v>
      </c>
      <c r="H817" s="6">
        <v>448.38</v>
      </c>
      <c r="I817" s="6">
        <v>539.64</v>
      </c>
      <c r="J817" s="6">
        <v>15.88</v>
      </c>
      <c r="K817" s="6" t="s">
        <v>44</v>
      </c>
      <c r="L817" s="6" t="s">
        <v>55</v>
      </c>
      <c r="M817" s="6">
        <f t="shared" si="1"/>
        <v>2690.28</v>
      </c>
      <c r="N817" s="6">
        <f t="shared" si="2"/>
        <v>2723.671008</v>
      </c>
      <c r="O817" s="6">
        <f t="shared" si="3"/>
        <v>33.391008</v>
      </c>
      <c r="P817" s="7">
        <f t="shared" si="4"/>
        <v>0.01225955995</v>
      </c>
      <c r="Q817" s="6" t="s">
        <v>40</v>
      </c>
      <c r="R817" s="8">
        <f t="shared" si="5"/>
        <v>514.168992</v>
      </c>
    </row>
    <row r="818" ht="14.25" customHeight="1">
      <c r="A818" s="6" t="s">
        <v>2149</v>
      </c>
      <c r="B818" s="6" t="s">
        <v>784</v>
      </c>
      <c r="C818" s="6" t="s">
        <v>2150</v>
      </c>
      <c r="D818" s="6" t="s">
        <v>30</v>
      </c>
      <c r="E818" s="6" t="s">
        <v>65</v>
      </c>
      <c r="F818" s="6" t="s">
        <v>66</v>
      </c>
      <c r="G818" s="6">
        <v>5.0</v>
      </c>
      <c r="H818" s="6">
        <v>111.12</v>
      </c>
      <c r="I818" s="6">
        <v>188.99</v>
      </c>
      <c r="J818" s="6">
        <v>15.42</v>
      </c>
      <c r="K818" s="6" t="s">
        <v>44</v>
      </c>
      <c r="L818" s="6" t="s">
        <v>25</v>
      </c>
      <c r="M818" s="6">
        <f t="shared" si="1"/>
        <v>555.6</v>
      </c>
      <c r="N818" s="6">
        <f t="shared" si="2"/>
        <v>799.23871</v>
      </c>
      <c r="O818" s="6">
        <f t="shared" si="3"/>
        <v>243.63871</v>
      </c>
      <c r="P818" s="7">
        <f t="shared" si="4"/>
        <v>0.3048384756</v>
      </c>
      <c r="Q818" s="6" t="s">
        <v>26</v>
      </c>
      <c r="R818" s="8">
        <f t="shared" si="5"/>
        <v>145.71129</v>
      </c>
    </row>
    <row r="819" ht="14.25" customHeight="1">
      <c r="A819" s="6" t="s">
        <v>2151</v>
      </c>
      <c r="B819" s="6" t="s">
        <v>526</v>
      </c>
      <c r="C819" s="6" t="s">
        <v>2152</v>
      </c>
      <c r="D819" s="6" t="s">
        <v>30</v>
      </c>
      <c r="E819" s="6" t="s">
        <v>104</v>
      </c>
      <c r="F819" s="6" t="s">
        <v>105</v>
      </c>
      <c r="G819" s="6">
        <v>5.0</v>
      </c>
      <c r="H819" s="6">
        <v>174.11</v>
      </c>
      <c r="I819" s="6">
        <v>333.15</v>
      </c>
      <c r="J819" s="6">
        <v>7.37</v>
      </c>
      <c r="K819" s="6" t="s">
        <v>44</v>
      </c>
      <c r="L819" s="6" t="s">
        <v>55</v>
      </c>
      <c r="M819" s="6">
        <f t="shared" si="1"/>
        <v>870.55</v>
      </c>
      <c r="N819" s="6">
        <f t="shared" si="2"/>
        <v>1542.984225</v>
      </c>
      <c r="O819" s="6">
        <f t="shared" si="3"/>
        <v>672.434225</v>
      </c>
      <c r="P819" s="7">
        <f t="shared" si="4"/>
        <v>0.4358011016</v>
      </c>
      <c r="Q819" s="6" t="s">
        <v>26</v>
      </c>
      <c r="R819" s="8">
        <f t="shared" si="5"/>
        <v>122.765775</v>
      </c>
    </row>
    <row r="820" ht="14.25" customHeight="1">
      <c r="A820" s="6" t="s">
        <v>2153</v>
      </c>
      <c r="B820" s="6" t="s">
        <v>481</v>
      </c>
      <c r="C820" s="6" t="s">
        <v>2154</v>
      </c>
      <c r="D820" s="6" t="s">
        <v>48</v>
      </c>
      <c r="E820" s="6" t="s">
        <v>53</v>
      </c>
      <c r="F820" s="6" t="s">
        <v>54</v>
      </c>
      <c r="G820" s="6">
        <v>2.0</v>
      </c>
      <c r="H820" s="6">
        <v>212.5</v>
      </c>
      <c r="I820" s="6">
        <v>256.6</v>
      </c>
      <c r="J820" s="6">
        <v>19.57</v>
      </c>
      <c r="K820" s="6" t="s">
        <v>24</v>
      </c>
      <c r="L820" s="6" t="s">
        <v>33</v>
      </c>
      <c r="M820" s="6">
        <f t="shared" si="1"/>
        <v>425</v>
      </c>
      <c r="N820" s="6">
        <f t="shared" si="2"/>
        <v>412.76676</v>
      </c>
      <c r="O820" s="6">
        <f t="shared" si="3"/>
        <v>-12.23324</v>
      </c>
      <c r="P820" s="7">
        <f t="shared" si="4"/>
        <v>-0.0296371733</v>
      </c>
      <c r="Q820" s="6" t="s">
        <v>49</v>
      </c>
      <c r="R820" s="8">
        <f t="shared" si="5"/>
        <v>100.43324</v>
      </c>
    </row>
    <row r="821" ht="14.25" customHeight="1">
      <c r="A821" s="6" t="s">
        <v>2155</v>
      </c>
      <c r="B821" s="6" t="s">
        <v>1854</v>
      </c>
      <c r="C821" s="6" t="s">
        <v>2156</v>
      </c>
      <c r="D821" s="6" t="s">
        <v>30</v>
      </c>
      <c r="E821" s="6" t="s">
        <v>38</v>
      </c>
      <c r="F821" s="6" t="s">
        <v>39</v>
      </c>
      <c r="G821" s="6">
        <v>3.0</v>
      </c>
      <c r="H821" s="6">
        <v>257.09</v>
      </c>
      <c r="I821" s="6">
        <v>315.91</v>
      </c>
      <c r="J821" s="6">
        <v>22.39</v>
      </c>
      <c r="K821" s="6" t="s">
        <v>24</v>
      </c>
      <c r="L821" s="6" t="s">
        <v>55</v>
      </c>
      <c r="M821" s="6">
        <f t="shared" si="1"/>
        <v>771.27</v>
      </c>
      <c r="N821" s="6">
        <f t="shared" si="2"/>
        <v>735.533253</v>
      </c>
      <c r="O821" s="6">
        <f t="shared" si="3"/>
        <v>-35.736747</v>
      </c>
      <c r="P821" s="7">
        <f t="shared" si="4"/>
        <v>-0.04858617453</v>
      </c>
      <c r="Q821" s="6" t="s">
        <v>76</v>
      </c>
      <c r="R821" s="8">
        <f t="shared" si="5"/>
        <v>212.196747</v>
      </c>
    </row>
    <row r="822" ht="14.25" customHeight="1">
      <c r="A822" s="6" t="s">
        <v>2157</v>
      </c>
      <c r="B822" s="6" t="s">
        <v>867</v>
      </c>
      <c r="C822" s="6" t="s">
        <v>2158</v>
      </c>
      <c r="D822" s="6" t="s">
        <v>21</v>
      </c>
      <c r="E822" s="6" t="s">
        <v>53</v>
      </c>
      <c r="F822" s="6" t="s">
        <v>54</v>
      </c>
      <c r="G822" s="6">
        <v>8.0</v>
      </c>
      <c r="H822" s="6">
        <v>70.65</v>
      </c>
      <c r="I822" s="6">
        <v>108.26</v>
      </c>
      <c r="J822" s="6">
        <v>5.4</v>
      </c>
      <c r="K822" s="6" t="s">
        <v>24</v>
      </c>
      <c r="L822" s="6" t="s">
        <v>55</v>
      </c>
      <c r="M822" s="6">
        <f t="shared" si="1"/>
        <v>565.2</v>
      </c>
      <c r="N822" s="6">
        <f t="shared" si="2"/>
        <v>819.31168</v>
      </c>
      <c r="O822" s="6">
        <f t="shared" si="3"/>
        <v>254.11168</v>
      </c>
      <c r="P822" s="7">
        <f t="shared" si="4"/>
        <v>0.3101526393</v>
      </c>
      <c r="Q822" s="6" t="s">
        <v>76</v>
      </c>
      <c r="R822" s="8">
        <f t="shared" si="5"/>
        <v>46.76832</v>
      </c>
    </row>
    <row r="823" ht="14.25" customHeight="1">
      <c r="A823" s="6" t="s">
        <v>2159</v>
      </c>
      <c r="B823" s="6" t="s">
        <v>1983</v>
      </c>
      <c r="C823" s="6" t="s">
        <v>2158</v>
      </c>
      <c r="D823" s="6" t="s">
        <v>70</v>
      </c>
      <c r="E823" s="6" t="s">
        <v>38</v>
      </c>
      <c r="F823" s="6" t="s">
        <v>39</v>
      </c>
      <c r="G823" s="6">
        <v>2.0</v>
      </c>
      <c r="H823" s="6">
        <v>221.31</v>
      </c>
      <c r="I823" s="6">
        <v>296.45</v>
      </c>
      <c r="J823" s="6">
        <v>7.85</v>
      </c>
      <c r="K823" s="6" t="s">
        <v>24</v>
      </c>
      <c r="L823" s="6" t="s">
        <v>55</v>
      </c>
      <c r="M823" s="6">
        <f t="shared" si="1"/>
        <v>442.62</v>
      </c>
      <c r="N823" s="6">
        <f t="shared" si="2"/>
        <v>546.35735</v>
      </c>
      <c r="O823" s="6">
        <f t="shared" si="3"/>
        <v>103.73735</v>
      </c>
      <c r="P823" s="7">
        <f t="shared" si="4"/>
        <v>0.1898708785</v>
      </c>
      <c r="Q823" s="6" t="s">
        <v>40</v>
      </c>
      <c r="R823" s="8">
        <f t="shared" si="5"/>
        <v>46.54265</v>
      </c>
    </row>
    <row r="824" ht="14.25" customHeight="1">
      <c r="A824" s="6" t="s">
        <v>2160</v>
      </c>
      <c r="B824" s="6" t="s">
        <v>1807</v>
      </c>
      <c r="C824" s="6" t="s">
        <v>2161</v>
      </c>
      <c r="D824" s="6" t="s">
        <v>83</v>
      </c>
      <c r="E824" s="6" t="s">
        <v>31</v>
      </c>
      <c r="F824" s="6" t="s">
        <v>32</v>
      </c>
      <c r="G824" s="6">
        <v>8.0</v>
      </c>
      <c r="H824" s="6">
        <v>287.75</v>
      </c>
      <c r="I824" s="6">
        <v>379.59</v>
      </c>
      <c r="J824" s="6">
        <v>7.2</v>
      </c>
      <c r="K824" s="6" t="s">
        <v>24</v>
      </c>
      <c r="L824" s="6" t="s">
        <v>61</v>
      </c>
      <c r="M824" s="6">
        <f t="shared" si="1"/>
        <v>2302</v>
      </c>
      <c r="N824" s="6">
        <f t="shared" si="2"/>
        <v>2818.07616</v>
      </c>
      <c r="O824" s="6">
        <f t="shared" si="3"/>
        <v>516.07616</v>
      </c>
      <c r="P824" s="7">
        <f t="shared" si="4"/>
        <v>0.1831306646</v>
      </c>
      <c r="Q824" s="6" t="s">
        <v>26</v>
      </c>
      <c r="R824" s="8">
        <f t="shared" si="5"/>
        <v>218.64384</v>
      </c>
    </row>
    <row r="825" ht="14.25" customHeight="1">
      <c r="A825" s="6" t="s">
        <v>2162</v>
      </c>
      <c r="B825" s="6" t="s">
        <v>200</v>
      </c>
      <c r="C825" s="6" t="s">
        <v>2163</v>
      </c>
      <c r="D825" s="6" t="s">
        <v>30</v>
      </c>
      <c r="E825" s="6" t="s">
        <v>65</v>
      </c>
      <c r="F825" s="6" t="s">
        <v>66</v>
      </c>
      <c r="G825" s="6">
        <v>2.0</v>
      </c>
      <c r="H825" s="6">
        <v>349.67</v>
      </c>
      <c r="I825" s="6">
        <v>534.58</v>
      </c>
      <c r="J825" s="6">
        <v>13.15</v>
      </c>
      <c r="K825" s="6" t="s">
        <v>44</v>
      </c>
      <c r="L825" s="6" t="s">
        <v>61</v>
      </c>
      <c r="M825" s="6">
        <f t="shared" si="1"/>
        <v>699.34</v>
      </c>
      <c r="N825" s="6">
        <f t="shared" si="2"/>
        <v>928.56546</v>
      </c>
      <c r="O825" s="6">
        <f t="shared" si="3"/>
        <v>229.22546</v>
      </c>
      <c r="P825" s="7">
        <f t="shared" si="4"/>
        <v>0.2468597744</v>
      </c>
      <c r="Q825" s="6" t="s">
        <v>76</v>
      </c>
      <c r="R825" s="8">
        <f t="shared" si="5"/>
        <v>140.59454</v>
      </c>
    </row>
    <row r="826" ht="14.25" customHeight="1">
      <c r="A826" s="6" t="s">
        <v>2164</v>
      </c>
      <c r="B826" s="6" t="s">
        <v>570</v>
      </c>
      <c r="C826" s="6" t="s">
        <v>2165</v>
      </c>
      <c r="D826" s="6" t="s">
        <v>30</v>
      </c>
      <c r="E826" s="6" t="s">
        <v>22</v>
      </c>
      <c r="F826" s="6" t="s">
        <v>23</v>
      </c>
      <c r="G826" s="6">
        <v>2.0</v>
      </c>
      <c r="H826" s="6">
        <v>368.74</v>
      </c>
      <c r="I826" s="6">
        <v>447.33</v>
      </c>
      <c r="J826" s="6">
        <v>10.95</v>
      </c>
      <c r="K826" s="6" t="s">
        <v>44</v>
      </c>
      <c r="L826" s="6" t="s">
        <v>25</v>
      </c>
      <c r="M826" s="6">
        <f t="shared" si="1"/>
        <v>737.48</v>
      </c>
      <c r="N826" s="6">
        <f t="shared" si="2"/>
        <v>796.69473</v>
      </c>
      <c r="O826" s="6">
        <f t="shared" si="3"/>
        <v>59.21473</v>
      </c>
      <c r="P826" s="7">
        <f t="shared" si="4"/>
        <v>0.07432549479</v>
      </c>
      <c r="Q826" s="6" t="s">
        <v>26</v>
      </c>
      <c r="R826" s="8">
        <f t="shared" si="5"/>
        <v>97.96527</v>
      </c>
    </row>
    <row r="827" ht="14.25" customHeight="1">
      <c r="A827" s="6" t="s">
        <v>2166</v>
      </c>
      <c r="B827" s="6" t="s">
        <v>2167</v>
      </c>
      <c r="C827" s="6" t="s">
        <v>2168</v>
      </c>
      <c r="D827" s="6" t="s">
        <v>21</v>
      </c>
      <c r="E827" s="6" t="s">
        <v>104</v>
      </c>
      <c r="F827" s="6" t="s">
        <v>105</v>
      </c>
      <c r="G827" s="6">
        <v>8.0</v>
      </c>
      <c r="H827" s="6">
        <v>356.5</v>
      </c>
      <c r="I827" s="6">
        <v>530.91</v>
      </c>
      <c r="J827" s="6">
        <v>8.12</v>
      </c>
      <c r="K827" s="6" t="s">
        <v>24</v>
      </c>
      <c r="L827" s="6" t="s">
        <v>61</v>
      </c>
      <c r="M827" s="6">
        <f t="shared" si="1"/>
        <v>2852</v>
      </c>
      <c r="N827" s="6">
        <f t="shared" si="2"/>
        <v>3902.400864</v>
      </c>
      <c r="O827" s="6">
        <f t="shared" si="3"/>
        <v>1050.400864</v>
      </c>
      <c r="P827" s="7">
        <f t="shared" si="4"/>
        <v>0.2691678535</v>
      </c>
      <c r="Q827" s="6" t="s">
        <v>49</v>
      </c>
      <c r="R827" s="8">
        <f t="shared" si="5"/>
        <v>344.879136</v>
      </c>
    </row>
    <row r="828" ht="14.25" customHeight="1">
      <c r="A828" s="6" t="s">
        <v>2169</v>
      </c>
      <c r="B828" s="6" t="s">
        <v>559</v>
      </c>
      <c r="C828" s="6" t="s">
        <v>2170</v>
      </c>
      <c r="D828" s="6" t="s">
        <v>30</v>
      </c>
      <c r="E828" s="6" t="s">
        <v>31</v>
      </c>
      <c r="F828" s="6" t="s">
        <v>32</v>
      </c>
      <c r="G828" s="6">
        <v>3.0</v>
      </c>
      <c r="H828" s="6">
        <v>262.08</v>
      </c>
      <c r="I828" s="6">
        <v>501.98</v>
      </c>
      <c r="J828" s="6">
        <v>19.4</v>
      </c>
      <c r="K828" s="6" t="s">
        <v>24</v>
      </c>
      <c r="L828" s="6" t="s">
        <v>33</v>
      </c>
      <c r="M828" s="6">
        <f t="shared" si="1"/>
        <v>786.24</v>
      </c>
      <c r="N828" s="6">
        <f t="shared" si="2"/>
        <v>1213.78764</v>
      </c>
      <c r="O828" s="6">
        <f t="shared" si="3"/>
        <v>427.54764</v>
      </c>
      <c r="P828" s="7">
        <f t="shared" si="4"/>
        <v>0.3522425389</v>
      </c>
      <c r="Q828" s="6" t="s">
        <v>49</v>
      </c>
      <c r="R828" s="8">
        <f t="shared" si="5"/>
        <v>292.15236</v>
      </c>
    </row>
    <row r="829" ht="14.25" customHeight="1">
      <c r="A829" s="6" t="s">
        <v>2171</v>
      </c>
      <c r="B829" s="6" t="s">
        <v>116</v>
      </c>
      <c r="C829" s="6" t="s">
        <v>2172</v>
      </c>
      <c r="D829" s="6" t="s">
        <v>21</v>
      </c>
      <c r="E829" s="6" t="s">
        <v>31</v>
      </c>
      <c r="F829" s="6" t="s">
        <v>32</v>
      </c>
      <c r="G829" s="6">
        <v>7.0</v>
      </c>
      <c r="H829" s="6">
        <v>279.87</v>
      </c>
      <c r="I829" s="6">
        <v>508.38</v>
      </c>
      <c r="J829" s="6">
        <v>3.18</v>
      </c>
      <c r="K829" s="6" t="s">
        <v>44</v>
      </c>
      <c r="L829" s="6" t="s">
        <v>33</v>
      </c>
      <c r="M829" s="6">
        <f t="shared" si="1"/>
        <v>1959.09</v>
      </c>
      <c r="N829" s="6">
        <f t="shared" si="2"/>
        <v>3445.494612</v>
      </c>
      <c r="O829" s="6">
        <f t="shared" si="3"/>
        <v>1486.404612</v>
      </c>
      <c r="P829" s="7">
        <f t="shared" si="4"/>
        <v>0.4314052928</v>
      </c>
      <c r="Q829" s="6" t="s">
        <v>34</v>
      </c>
      <c r="R829" s="8">
        <f t="shared" si="5"/>
        <v>113.165388</v>
      </c>
    </row>
    <row r="830" ht="14.25" customHeight="1">
      <c r="A830" s="6" t="s">
        <v>2173</v>
      </c>
      <c r="B830" s="6" t="s">
        <v>609</v>
      </c>
      <c r="C830" s="6" t="s">
        <v>2174</v>
      </c>
      <c r="D830" s="6" t="s">
        <v>70</v>
      </c>
      <c r="E830" s="6" t="s">
        <v>65</v>
      </c>
      <c r="F830" s="6" t="s">
        <v>66</v>
      </c>
      <c r="G830" s="6">
        <v>1.0</v>
      </c>
      <c r="H830" s="6">
        <v>423.61</v>
      </c>
      <c r="I830" s="6">
        <v>531.83</v>
      </c>
      <c r="J830" s="6">
        <v>2.33</v>
      </c>
      <c r="K830" s="6" t="s">
        <v>24</v>
      </c>
      <c r="L830" s="6" t="s">
        <v>25</v>
      </c>
      <c r="M830" s="6">
        <f t="shared" si="1"/>
        <v>423.61</v>
      </c>
      <c r="N830" s="6">
        <f t="shared" si="2"/>
        <v>519.438361</v>
      </c>
      <c r="O830" s="6">
        <f t="shared" si="3"/>
        <v>95.828361</v>
      </c>
      <c r="P830" s="7">
        <f t="shared" si="4"/>
        <v>0.1844845668</v>
      </c>
      <c r="Q830" s="6" t="s">
        <v>26</v>
      </c>
      <c r="R830" s="8">
        <f t="shared" si="5"/>
        <v>12.391639</v>
      </c>
    </row>
    <row r="831" ht="14.25" customHeight="1">
      <c r="A831" s="6" t="s">
        <v>2175</v>
      </c>
      <c r="B831" s="6" t="s">
        <v>1158</v>
      </c>
      <c r="C831" s="6" t="s">
        <v>2176</v>
      </c>
      <c r="D831" s="6" t="s">
        <v>48</v>
      </c>
      <c r="E831" s="6" t="s">
        <v>87</v>
      </c>
      <c r="F831" s="6" t="s">
        <v>88</v>
      </c>
      <c r="G831" s="6">
        <v>3.0</v>
      </c>
      <c r="H831" s="6">
        <v>320.36</v>
      </c>
      <c r="I831" s="6">
        <v>496.92</v>
      </c>
      <c r="J831" s="6">
        <v>10.23</v>
      </c>
      <c r="K831" s="6" t="s">
        <v>24</v>
      </c>
      <c r="L831" s="6" t="s">
        <v>25</v>
      </c>
      <c r="M831" s="6">
        <f t="shared" si="1"/>
        <v>961.08</v>
      </c>
      <c r="N831" s="6">
        <f t="shared" si="2"/>
        <v>1338.255252</v>
      </c>
      <c r="O831" s="6">
        <f t="shared" si="3"/>
        <v>377.175252</v>
      </c>
      <c r="P831" s="7">
        <f t="shared" si="4"/>
        <v>0.28184104</v>
      </c>
      <c r="Q831" s="6" t="s">
        <v>34</v>
      </c>
      <c r="R831" s="8">
        <f t="shared" si="5"/>
        <v>152.504748</v>
      </c>
    </row>
    <row r="832" ht="14.25" customHeight="1">
      <c r="A832" s="6" t="s">
        <v>2177</v>
      </c>
      <c r="B832" s="6" t="s">
        <v>1496</v>
      </c>
      <c r="C832" s="6" t="s">
        <v>2178</v>
      </c>
      <c r="D832" s="6" t="s">
        <v>83</v>
      </c>
      <c r="E832" s="6" t="s">
        <v>38</v>
      </c>
      <c r="F832" s="6" t="s">
        <v>39</v>
      </c>
      <c r="G832" s="6">
        <v>2.0</v>
      </c>
      <c r="H832" s="6">
        <v>215.62</v>
      </c>
      <c r="I832" s="6">
        <v>269.98</v>
      </c>
      <c r="J832" s="6">
        <v>8.5</v>
      </c>
      <c r="K832" s="6" t="s">
        <v>44</v>
      </c>
      <c r="L832" s="6" t="s">
        <v>33</v>
      </c>
      <c r="M832" s="6">
        <f t="shared" si="1"/>
        <v>431.24</v>
      </c>
      <c r="N832" s="6">
        <f t="shared" si="2"/>
        <v>494.0634</v>
      </c>
      <c r="O832" s="6">
        <f t="shared" si="3"/>
        <v>62.8234</v>
      </c>
      <c r="P832" s="7">
        <f t="shared" si="4"/>
        <v>0.1271565552</v>
      </c>
      <c r="Q832" s="6" t="s">
        <v>26</v>
      </c>
      <c r="R832" s="8">
        <f t="shared" si="5"/>
        <v>45.8966</v>
      </c>
    </row>
    <row r="833" ht="14.25" customHeight="1">
      <c r="A833" s="6" t="s">
        <v>2179</v>
      </c>
      <c r="B833" s="6" t="s">
        <v>835</v>
      </c>
      <c r="C833" s="6" t="s">
        <v>2180</v>
      </c>
      <c r="D833" s="6" t="s">
        <v>70</v>
      </c>
      <c r="E833" s="6" t="s">
        <v>59</v>
      </c>
      <c r="F833" s="6" t="s">
        <v>60</v>
      </c>
      <c r="G833" s="6">
        <v>1.0</v>
      </c>
      <c r="H833" s="6">
        <v>326.25</v>
      </c>
      <c r="I833" s="6">
        <v>582.42</v>
      </c>
      <c r="J833" s="6">
        <v>23.69</v>
      </c>
      <c r="K833" s="6" t="s">
        <v>24</v>
      </c>
      <c r="L833" s="6" t="s">
        <v>25</v>
      </c>
      <c r="M833" s="6">
        <f t="shared" si="1"/>
        <v>326.25</v>
      </c>
      <c r="N833" s="6">
        <f t="shared" si="2"/>
        <v>444.444702</v>
      </c>
      <c r="O833" s="6">
        <f t="shared" si="3"/>
        <v>118.194702</v>
      </c>
      <c r="P833" s="7">
        <f t="shared" si="4"/>
        <v>0.2659379254</v>
      </c>
      <c r="Q833" s="6" t="s">
        <v>34</v>
      </c>
      <c r="R833" s="8">
        <f t="shared" si="5"/>
        <v>137.975298</v>
      </c>
    </row>
    <row r="834" ht="14.25" customHeight="1">
      <c r="A834" s="6" t="s">
        <v>2181</v>
      </c>
      <c r="B834" s="6" t="s">
        <v>843</v>
      </c>
      <c r="C834" s="6" t="s">
        <v>2182</v>
      </c>
      <c r="D834" s="6" t="s">
        <v>30</v>
      </c>
      <c r="E834" s="6" t="s">
        <v>65</v>
      </c>
      <c r="F834" s="6" t="s">
        <v>66</v>
      </c>
      <c r="G834" s="6">
        <v>7.0</v>
      </c>
      <c r="H834" s="6">
        <v>123.31</v>
      </c>
      <c r="I834" s="6">
        <v>220.35</v>
      </c>
      <c r="J834" s="6">
        <v>3.44</v>
      </c>
      <c r="K834" s="6" t="s">
        <v>44</v>
      </c>
      <c r="L834" s="6" t="s">
        <v>55</v>
      </c>
      <c r="M834" s="6">
        <f t="shared" si="1"/>
        <v>863.17</v>
      </c>
      <c r="N834" s="6">
        <f t="shared" si="2"/>
        <v>1489.38972</v>
      </c>
      <c r="O834" s="6">
        <f t="shared" si="3"/>
        <v>626.21972</v>
      </c>
      <c r="P834" s="7">
        <f t="shared" si="4"/>
        <v>0.4204539024</v>
      </c>
      <c r="Q834" s="6" t="s">
        <v>76</v>
      </c>
      <c r="R834" s="8">
        <f t="shared" si="5"/>
        <v>53.06028</v>
      </c>
    </row>
    <row r="835" ht="14.25" customHeight="1">
      <c r="A835" s="6" t="s">
        <v>2183</v>
      </c>
      <c r="B835" s="6" t="s">
        <v>846</v>
      </c>
      <c r="C835" s="6" t="s">
        <v>2184</v>
      </c>
      <c r="D835" s="6" t="s">
        <v>21</v>
      </c>
      <c r="E835" s="6" t="s">
        <v>31</v>
      </c>
      <c r="F835" s="6" t="s">
        <v>32</v>
      </c>
      <c r="G835" s="6">
        <v>8.0</v>
      </c>
      <c r="H835" s="6">
        <v>63.8</v>
      </c>
      <c r="I835" s="6">
        <v>95.74</v>
      </c>
      <c r="J835" s="6">
        <v>8.79</v>
      </c>
      <c r="K835" s="6" t="s">
        <v>24</v>
      </c>
      <c r="L835" s="6" t="s">
        <v>55</v>
      </c>
      <c r="M835" s="6">
        <f t="shared" si="1"/>
        <v>510.4</v>
      </c>
      <c r="N835" s="6">
        <f t="shared" si="2"/>
        <v>698.595632</v>
      </c>
      <c r="O835" s="6">
        <f t="shared" si="3"/>
        <v>188.195632</v>
      </c>
      <c r="P835" s="7">
        <f t="shared" si="4"/>
        <v>0.2693913666</v>
      </c>
      <c r="Q835" s="6" t="s">
        <v>26</v>
      </c>
      <c r="R835" s="8">
        <f t="shared" si="5"/>
        <v>67.324368</v>
      </c>
    </row>
    <row r="836" ht="14.25" customHeight="1">
      <c r="A836" s="6" t="s">
        <v>2185</v>
      </c>
      <c r="B836" s="6" t="s">
        <v>1675</v>
      </c>
      <c r="C836" s="6" t="s">
        <v>2186</v>
      </c>
      <c r="D836" s="6" t="s">
        <v>70</v>
      </c>
      <c r="E836" s="6" t="s">
        <v>53</v>
      </c>
      <c r="F836" s="6" t="s">
        <v>54</v>
      </c>
      <c r="G836" s="6">
        <v>1.0</v>
      </c>
      <c r="H836" s="6">
        <v>431.94</v>
      </c>
      <c r="I836" s="6">
        <v>522.72</v>
      </c>
      <c r="J836" s="6">
        <v>24.86</v>
      </c>
      <c r="K836" s="6" t="s">
        <v>44</v>
      </c>
      <c r="L836" s="6" t="s">
        <v>55</v>
      </c>
      <c r="M836" s="6">
        <f t="shared" si="1"/>
        <v>431.94</v>
      </c>
      <c r="N836" s="6">
        <f t="shared" si="2"/>
        <v>392.771808</v>
      </c>
      <c r="O836" s="6">
        <f t="shared" si="3"/>
        <v>-39.168192</v>
      </c>
      <c r="P836" s="7">
        <f t="shared" si="4"/>
        <v>-0.09972251369</v>
      </c>
      <c r="Q836" s="6" t="s">
        <v>49</v>
      </c>
      <c r="R836" s="8">
        <f t="shared" si="5"/>
        <v>129.948192</v>
      </c>
    </row>
    <row r="837" ht="14.25" customHeight="1">
      <c r="A837" s="6" t="s">
        <v>2187</v>
      </c>
      <c r="B837" s="6" t="s">
        <v>2188</v>
      </c>
      <c r="C837" s="6" t="s">
        <v>2189</v>
      </c>
      <c r="D837" s="6" t="s">
        <v>64</v>
      </c>
      <c r="E837" s="6" t="s">
        <v>22</v>
      </c>
      <c r="F837" s="6" t="s">
        <v>23</v>
      </c>
      <c r="G837" s="6">
        <v>1.0</v>
      </c>
      <c r="H837" s="6">
        <v>168.37</v>
      </c>
      <c r="I837" s="6">
        <v>320.33</v>
      </c>
      <c r="J837" s="6">
        <v>17.36</v>
      </c>
      <c r="K837" s="6" t="s">
        <v>24</v>
      </c>
      <c r="L837" s="6" t="s">
        <v>61</v>
      </c>
      <c r="M837" s="6">
        <f t="shared" si="1"/>
        <v>168.37</v>
      </c>
      <c r="N837" s="6">
        <f t="shared" si="2"/>
        <v>264.720712</v>
      </c>
      <c r="O837" s="6">
        <f t="shared" si="3"/>
        <v>96.350712</v>
      </c>
      <c r="P837" s="7">
        <f t="shared" si="4"/>
        <v>0.3639711879</v>
      </c>
      <c r="Q837" s="6" t="s">
        <v>76</v>
      </c>
      <c r="R837" s="8">
        <f t="shared" si="5"/>
        <v>55.609288</v>
      </c>
    </row>
    <row r="838" ht="14.25" customHeight="1">
      <c r="A838" s="6" t="s">
        <v>2190</v>
      </c>
      <c r="B838" s="6" t="s">
        <v>118</v>
      </c>
      <c r="C838" s="6" t="s">
        <v>2191</v>
      </c>
      <c r="D838" s="6" t="s">
        <v>70</v>
      </c>
      <c r="E838" s="6" t="s">
        <v>59</v>
      </c>
      <c r="F838" s="6" t="s">
        <v>60</v>
      </c>
      <c r="G838" s="6">
        <v>3.0</v>
      </c>
      <c r="H838" s="6">
        <v>300.74</v>
      </c>
      <c r="I838" s="6">
        <v>376.47</v>
      </c>
      <c r="J838" s="6">
        <v>5.58</v>
      </c>
      <c r="K838" s="6" t="s">
        <v>44</v>
      </c>
      <c r="L838" s="6" t="s">
        <v>55</v>
      </c>
      <c r="M838" s="6">
        <f t="shared" si="1"/>
        <v>902.22</v>
      </c>
      <c r="N838" s="6">
        <f t="shared" si="2"/>
        <v>1066.388922</v>
      </c>
      <c r="O838" s="6">
        <f t="shared" si="3"/>
        <v>164.168922</v>
      </c>
      <c r="P838" s="7">
        <f t="shared" si="4"/>
        <v>0.1539484503</v>
      </c>
      <c r="Q838" s="6" t="s">
        <v>34</v>
      </c>
      <c r="R838" s="8">
        <f t="shared" si="5"/>
        <v>63.021078</v>
      </c>
    </row>
    <row r="839" ht="14.25" customHeight="1">
      <c r="A839" s="6" t="s">
        <v>2192</v>
      </c>
      <c r="B839" s="6" t="s">
        <v>278</v>
      </c>
      <c r="C839" s="6" t="s">
        <v>2193</v>
      </c>
      <c r="D839" s="6" t="s">
        <v>83</v>
      </c>
      <c r="E839" s="6" t="s">
        <v>22</v>
      </c>
      <c r="F839" s="6" t="s">
        <v>23</v>
      </c>
      <c r="G839" s="6">
        <v>8.0</v>
      </c>
      <c r="H839" s="6">
        <v>304.19</v>
      </c>
      <c r="I839" s="6">
        <v>528.34</v>
      </c>
      <c r="J839" s="6">
        <v>11.84</v>
      </c>
      <c r="K839" s="6" t="s">
        <v>44</v>
      </c>
      <c r="L839" s="6" t="s">
        <v>61</v>
      </c>
      <c r="M839" s="6">
        <f t="shared" si="1"/>
        <v>2433.52</v>
      </c>
      <c r="N839" s="6">
        <f t="shared" si="2"/>
        <v>3726.276352</v>
      </c>
      <c r="O839" s="6">
        <f t="shared" si="3"/>
        <v>1292.756352</v>
      </c>
      <c r="P839" s="7">
        <f t="shared" si="4"/>
        <v>0.3469298114</v>
      </c>
      <c r="Q839" s="6" t="s">
        <v>76</v>
      </c>
      <c r="R839" s="8">
        <f t="shared" si="5"/>
        <v>500.443648</v>
      </c>
    </row>
    <row r="840" ht="14.25" customHeight="1">
      <c r="A840" s="6" t="s">
        <v>2194</v>
      </c>
      <c r="B840" s="6" t="s">
        <v>197</v>
      </c>
      <c r="C840" s="6" t="s">
        <v>2195</v>
      </c>
      <c r="D840" s="6" t="s">
        <v>83</v>
      </c>
      <c r="E840" s="6" t="s">
        <v>87</v>
      </c>
      <c r="F840" s="6" t="s">
        <v>88</v>
      </c>
      <c r="G840" s="6">
        <v>5.0</v>
      </c>
      <c r="H840" s="6">
        <v>226.28</v>
      </c>
      <c r="I840" s="6">
        <v>373.18</v>
      </c>
      <c r="J840" s="6">
        <v>15.57</v>
      </c>
      <c r="K840" s="6" t="s">
        <v>24</v>
      </c>
      <c r="L840" s="6" t="s">
        <v>33</v>
      </c>
      <c r="M840" s="6">
        <f t="shared" si="1"/>
        <v>1131.4</v>
      </c>
      <c r="N840" s="6">
        <f t="shared" si="2"/>
        <v>1575.37937</v>
      </c>
      <c r="O840" s="6">
        <f t="shared" si="3"/>
        <v>443.97937</v>
      </c>
      <c r="P840" s="7">
        <f t="shared" si="4"/>
        <v>0.2818237806</v>
      </c>
      <c r="Q840" s="6" t="s">
        <v>26</v>
      </c>
      <c r="R840" s="8">
        <f t="shared" si="5"/>
        <v>290.52063</v>
      </c>
    </row>
    <row r="841" ht="14.25" customHeight="1">
      <c r="A841" s="6" t="s">
        <v>2196</v>
      </c>
      <c r="B841" s="6" t="s">
        <v>867</v>
      </c>
      <c r="C841" s="6" t="s">
        <v>2197</v>
      </c>
      <c r="D841" s="6" t="s">
        <v>70</v>
      </c>
      <c r="E841" s="6" t="s">
        <v>38</v>
      </c>
      <c r="F841" s="6" t="s">
        <v>39</v>
      </c>
      <c r="G841" s="6">
        <v>6.0</v>
      </c>
      <c r="H841" s="6">
        <v>321.04</v>
      </c>
      <c r="I841" s="6">
        <v>555.93</v>
      </c>
      <c r="J841" s="6">
        <v>1.58</v>
      </c>
      <c r="K841" s="6" t="s">
        <v>24</v>
      </c>
      <c r="L841" s="6" t="s">
        <v>61</v>
      </c>
      <c r="M841" s="6">
        <f t="shared" si="1"/>
        <v>1926.24</v>
      </c>
      <c r="N841" s="6">
        <f t="shared" si="2"/>
        <v>3282.877836</v>
      </c>
      <c r="O841" s="6">
        <f t="shared" si="3"/>
        <v>1356.637836</v>
      </c>
      <c r="P841" s="7">
        <f t="shared" si="4"/>
        <v>0.4132465184</v>
      </c>
      <c r="Q841" s="6" t="s">
        <v>49</v>
      </c>
      <c r="R841" s="8">
        <f t="shared" si="5"/>
        <v>52.702164</v>
      </c>
    </row>
    <row r="842" ht="14.25" customHeight="1">
      <c r="A842" s="6" t="s">
        <v>2198</v>
      </c>
      <c r="B842" s="6" t="s">
        <v>2199</v>
      </c>
      <c r="C842" s="6" t="s">
        <v>2197</v>
      </c>
      <c r="D842" s="6" t="s">
        <v>64</v>
      </c>
      <c r="E842" s="6" t="s">
        <v>38</v>
      </c>
      <c r="F842" s="6" t="s">
        <v>39</v>
      </c>
      <c r="G842" s="6">
        <v>1.0</v>
      </c>
      <c r="H842" s="6">
        <v>157.35</v>
      </c>
      <c r="I842" s="6">
        <v>210.31</v>
      </c>
      <c r="J842" s="6">
        <v>3.41</v>
      </c>
      <c r="K842" s="6" t="s">
        <v>24</v>
      </c>
      <c r="L842" s="6" t="s">
        <v>25</v>
      </c>
      <c r="M842" s="6">
        <f t="shared" si="1"/>
        <v>157.35</v>
      </c>
      <c r="N842" s="6">
        <f t="shared" si="2"/>
        <v>203.138429</v>
      </c>
      <c r="O842" s="6">
        <f t="shared" si="3"/>
        <v>45.788429</v>
      </c>
      <c r="P842" s="7">
        <f t="shared" si="4"/>
        <v>0.2254050562</v>
      </c>
      <c r="Q842" s="6" t="s">
        <v>49</v>
      </c>
      <c r="R842" s="8">
        <f t="shared" si="5"/>
        <v>7.171571</v>
      </c>
    </row>
    <row r="843" ht="14.25" customHeight="1">
      <c r="A843" s="6" t="s">
        <v>2200</v>
      </c>
      <c r="B843" s="6" t="s">
        <v>2201</v>
      </c>
      <c r="C843" s="6" t="s">
        <v>2202</v>
      </c>
      <c r="D843" s="6" t="s">
        <v>70</v>
      </c>
      <c r="E843" s="6" t="s">
        <v>38</v>
      </c>
      <c r="F843" s="6" t="s">
        <v>39</v>
      </c>
      <c r="G843" s="6">
        <v>4.0</v>
      </c>
      <c r="H843" s="6">
        <v>302.2</v>
      </c>
      <c r="I843" s="6">
        <v>557.08</v>
      </c>
      <c r="J843" s="6">
        <v>3.33</v>
      </c>
      <c r="K843" s="6" t="s">
        <v>24</v>
      </c>
      <c r="L843" s="6" t="s">
        <v>61</v>
      </c>
      <c r="M843" s="6">
        <f t="shared" si="1"/>
        <v>1208.8</v>
      </c>
      <c r="N843" s="6">
        <f t="shared" si="2"/>
        <v>2154.116944</v>
      </c>
      <c r="O843" s="6">
        <f t="shared" si="3"/>
        <v>945.316944</v>
      </c>
      <c r="P843" s="7">
        <f t="shared" si="4"/>
        <v>0.4388419796</v>
      </c>
      <c r="Q843" s="6" t="s">
        <v>26</v>
      </c>
      <c r="R843" s="8">
        <f t="shared" si="5"/>
        <v>74.203056</v>
      </c>
    </row>
    <row r="844" ht="14.25" customHeight="1">
      <c r="A844" s="6" t="s">
        <v>2203</v>
      </c>
      <c r="B844" s="6" t="s">
        <v>1685</v>
      </c>
      <c r="C844" s="6" t="s">
        <v>2202</v>
      </c>
      <c r="D844" s="6" t="s">
        <v>48</v>
      </c>
      <c r="E844" s="6" t="s">
        <v>87</v>
      </c>
      <c r="F844" s="6" t="s">
        <v>88</v>
      </c>
      <c r="G844" s="6">
        <v>7.0</v>
      </c>
      <c r="H844" s="6">
        <v>402.63</v>
      </c>
      <c r="I844" s="6">
        <v>579.9</v>
      </c>
      <c r="J844" s="6">
        <v>1.04</v>
      </c>
      <c r="K844" s="6" t="s">
        <v>24</v>
      </c>
      <c r="L844" s="6" t="s">
        <v>33</v>
      </c>
      <c r="M844" s="6">
        <f t="shared" si="1"/>
        <v>2818.41</v>
      </c>
      <c r="N844" s="6">
        <f t="shared" si="2"/>
        <v>4017.08328</v>
      </c>
      <c r="O844" s="6">
        <f t="shared" si="3"/>
        <v>1198.67328</v>
      </c>
      <c r="P844" s="7">
        <f t="shared" si="4"/>
        <v>0.2983939332</v>
      </c>
      <c r="Q844" s="6" t="s">
        <v>49</v>
      </c>
      <c r="R844" s="8">
        <f t="shared" si="5"/>
        <v>42.21672</v>
      </c>
    </row>
    <row r="845" ht="14.25" customHeight="1">
      <c r="A845" s="6" t="s">
        <v>2204</v>
      </c>
      <c r="B845" s="6" t="s">
        <v>167</v>
      </c>
      <c r="C845" s="6" t="s">
        <v>2205</v>
      </c>
      <c r="D845" s="6" t="s">
        <v>64</v>
      </c>
      <c r="E845" s="6" t="s">
        <v>38</v>
      </c>
      <c r="F845" s="6" t="s">
        <v>39</v>
      </c>
      <c r="G845" s="6">
        <v>4.0</v>
      </c>
      <c r="H845" s="6">
        <v>116.46</v>
      </c>
      <c r="I845" s="6">
        <v>175.23</v>
      </c>
      <c r="J845" s="6">
        <v>4.09</v>
      </c>
      <c r="K845" s="6" t="s">
        <v>44</v>
      </c>
      <c r="L845" s="6" t="s">
        <v>61</v>
      </c>
      <c r="M845" s="6">
        <f t="shared" si="1"/>
        <v>465.84</v>
      </c>
      <c r="N845" s="6">
        <f t="shared" si="2"/>
        <v>672.252372</v>
      </c>
      <c r="O845" s="6">
        <f t="shared" si="3"/>
        <v>206.412372</v>
      </c>
      <c r="P845" s="7">
        <f t="shared" si="4"/>
        <v>0.3070459557</v>
      </c>
      <c r="Q845" s="6" t="s">
        <v>49</v>
      </c>
      <c r="R845" s="8">
        <f t="shared" si="5"/>
        <v>28.667628</v>
      </c>
    </row>
    <row r="846" ht="14.25" customHeight="1">
      <c r="A846" s="6" t="s">
        <v>2206</v>
      </c>
      <c r="B846" s="6" t="s">
        <v>191</v>
      </c>
      <c r="C846" s="6" t="s">
        <v>2207</v>
      </c>
      <c r="D846" s="6" t="s">
        <v>30</v>
      </c>
      <c r="E846" s="6" t="s">
        <v>87</v>
      </c>
      <c r="F846" s="6" t="s">
        <v>88</v>
      </c>
      <c r="G846" s="6">
        <v>4.0</v>
      </c>
      <c r="H846" s="6">
        <v>335.43</v>
      </c>
      <c r="I846" s="6">
        <v>483.98</v>
      </c>
      <c r="J846" s="6">
        <v>2.86</v>
      </c>
      <c r="K846" s="6" t="s">
        <v>24</v>
      </c>
      <c r="L846" s="6" t="s">
        <v>61</v>
      </c>
      <c r="M846" s="6">
        <f t="shared" si="1"/>
        <v>1341.72</v>
      </c>
      <c r="N846" s="6">
        <f t="shared" si="2"/>
        <v>1880.552688</v>
      </c>
      <c r="O846" s="6">
        <f t="shared" si="3"/>
        <v>538.832688</v>
      </c>
      <c r="P846" s="7">
        <f t="shared" si="4"/>
        <v>0.2865288973</v>
      </c>
      <c r="Q846" s="6" t="s">
        <v>34</v>
      </c>
      <c r="R846" s="8">
        <f t="shared" si="5"/>
        <v>55.367312</v>
      </c>
    </row>
    <row r="847" ht="14.25" customHeight="1">
      <c r="A847" s="6" t="s">
        <v>2208</v>
      </c>
      <c r="B847" s="6" t="s">
        <v>408</v>
      </c>
      <c r="C847" s="6" t="s">
        <v>2209</v>
      </c>
      <c r="D847" s="6" t="s">
        <v>30</v>
      </c>
      <c r="E847" s="6" t="s">
        <v>65</v>
      </c>
      <c r="F847" s="6" t="s">
        <v>75</v>
      </c>
      <c r="G847" s="6">
        <v>1.0</v>
      </c>
      <c r="H847" s="6">
        <v>202.02</v>
      </c>
      <c r="I847" s="6">
        <v>258.5</v>
      </c>
      <c r="J847" s="6">
        <v>7.63</v>
      </c>
      <c r="K847" s="6" t="s">
        <v>24</v>
      </c>
      <c r="L847" s="6" t="s">
        <v>33</v>
      </c>
      <c r="M847" s="6">
        <f t="shared" si="1"/>
        <v>202.02</v>
      </c>
      <c r="N847" s="6">
        <f t="shared" si="2"/>
        <v>238.77645</v>
      </c>
      <c r="O847" s="6">
        <f t="shared" si="3"/>
        <v>36.75645</v>
      </c>
      <c r="P847" s="7">
        <f t="shared" si="4"/>
        <v>0.1539366634</v>
      </c>
      <c r="Q847" s="6" t="s">
        <v>26</v>
      </c>
      <c r="R847" s="8">
        <f t="shared" si="5"/>
        <v>19.72355</v>
      </c>
    </row>
    <row r="848" ht="14.25" customHeight="1">
      <c r="A848" s="6" t="s">
        <v>2210</v>
      </c>
      <c r="B848" s="6" t="s">
        <v>1849</v>
      </c>
      <c r="C848" s="6" t="s">
        <v>2211</v>
      </c>
      <c r="D848" s="6" t="s">
        <v>48</v>
      </c>
      <c r="E848" s="6" t="s">
        <v>65</v>
      </c>
      <c r="F848" s="6" t="s">
        <v>66</v>
      </c>
      <c r="G848" s="6">
        <v>4.0</v>
      </c>
      <c r="H848" s="6">
        <v>74.64</v>
      </c>
      <c r="I848" s="6">
        <v>95.24</v>
      </c>
      <c r="J848" s="6">
        <v>7.02</v>
      </c>
      <c r="K848" s="6" t="s">
        <v>24</v>
      </c>
      <c r="L848" s="6" t="s">
        <v>33</v>
      </c>
      <c r="M848" s="6">
        <f t="shared" si="1"/>
        <v>298.56</v>
      </c>
      <c r="N848" s="6">
        <f t="shared" si="2"/>
        <v>354.216608</v>
      </c>
      <c r="O848" s="6">
        <f t="shared" si="3"/>
        <v>55.656608</v>
      </c>
      <c r="P848" s="7">
        <f t="shared" si="4"/>
        <v>0.1571259132</v>
      </c>
      <c r="Q848" s="6" t="s">
        <v>76</v>
      </c>
      <c r="R848" s="8">
        <f t="shared" si="5"/>
        <v>26.743392</v>
      </c>
    </row>
    <row r="849" ht="14.25" customHeight="1">
      <c r="A849" s="6" t="s">
        <v>2212</v>
      </c>
      <c r="B849" s="6" t="s">
        <v>96</v>
      </c>
      <c r="C849" s="6" t="s">
        <v>2213</v>
      </c>
      <c r="D849" s="6" t="s">
        <v>21</v>
      </c>
      <c r="E849" s="6" t="s">
        <v>59</v>
      </c>
      <c r="F849" s="6" t="s">
        <v>60</v>
      </c>
      <c r="G849" s="6">
        <v>7.0</v>
      </c>
      <c r="H849" s="6">
        <v>377.5</v>
      </c>
      <c r="I849" s="6">
        <v>513.2</v>
      </c>
      <c r="J849" s="6">
        <v>18.36</v>
      </c>
      <c r="K849" s="6" t="s">
        <v>44</v>
      </c>
      <c r="L849" s="6" t="s">
        <v>55</v>
      </c>
      <c r="M849" s="6">
        <f t="shared" si="1"/>
        <v>2642.5</v>
      </c>
      <c r="N849" s="6">
        <f t="shared" si="2"/>
        <v>2932.83536</v>
      </c>
      <c r="O849" s="6">
        <f t="shared" si="3"/>
        <v>290.33536</v>
      </c>
      <c r="P849" s="7">
        <f t="shared" si="4"/>
        <v>0.09899476935</v>
      </c>
      <c r="Q849" s="6" t="s">
        <v>49</v>
      </c>
      <c r="R849" s="8">
        <f t="shared" si="5"/>
        <v>659.56464</v>
      </c>
    </row>
    <row r="850" ht="14.25" customHeight="1">
      <c r="A850" s="6" t="s">
        <v>2214</v>
      </c>
      <c r="B850" s="6" t="s">
        <v>2215</v>
      </c>
      <c r="C850" s="6" t="s">
        <v>2216</v>
      </c>
      <c r="D850" s="6" t="s">
        <v>70</v>
      </c>
      <c r="E850" s="6" t="s">
        <v>38</v>
      </c>
      <c r="F850" s="6" t="s">
        <v>71</v>
      </c>
      <c r="G850" s="6">
        <v>6.0</v>
      </c>
      <c r="H850" s="6">
        <v>269.43</v>
      </c>
      <c r="I850" s="6">
        <v>491.52</v>
      </c>
      <c r="J850" s="6">
        <v>7.17</v>
      </c>
      <c r="K850" s="6" t="s">
        <v>44</v>
      </c>
      <c r="L850" s="6" t="s">
        <v>61</v>
      </c>
      <c r="M850" s="6">
        <f t="shared" si="1"/>
        <v>1616.58</v>
      </c>
      <c r="N850" s="6">
        <f t="shared" si="2"/>
        <v>2737.668096</v>
      </c>
      <c r="O850" s="6">
        <f t="shared" si="3"/>
        <v>1121.088096</v>
      </c>
      <c r="P850" s="7">
        <f t="shared" si="4"/>
        <v>0.4095047525</v>
      </c>
      <c r="Q850" s="6" t="s">
        <v>34</v>
      </c>
      <c r="R850" s="8">
        <f t="shared" si="5"/>
        <v>211.451904</v>
      </c>
    </row>
    <row r="851" ht="14.25" customHeight="1">
      <c r="A851" s="6" t="s">
        <v>2217</v>
      </c>
      <c r="B851" s="6" t="s">
        <v>81</v>
      </c>
      <c r="C851" s="6" t="s">
        <v>2218</v>
      </c>
      <c r="D851" s="6" t="s">
        <v>21</v>
      </c>
      <c r="E851" s="6" t="s">
        <v>31</v>
      </c>
      <c r="F851" s="6" t="s">
        <v>32</v>
      </c>
      <c r="G851" s="6">
        <v>4.0</v>
      </c>
      <c r="H851" s="6">
        <v>271.44</v>
      </c>
      <c r="I851" s="6">
        <v>360.4</v>
      </c>
      <c r="J851" s="6">
        <v>22.06</v>
      </c>
      <c r="K851" s="6" t="s">
        <v>24</v>
      </c>
      <c r="L851" s="6" t="s">
        <v>61</v>
      </c>
      <c r="M851" s="6">
        <f t="shared" si="1"/>
        <v>1085.76</v>
      </c>
      <c r="N851" s="6">
        <f t="shared" si="2"/>
        <v>1123.58304</v>
      </c>
      <c r="O851" s="6">
        <f t="shared" si="3"/>
        <v>37.82304</v>
      </c>
      <c r="P851" s="7">
        <f t="shared" si="4"/>
        <v>0.03366287907</v>
      </c>
      <c r="Q851" s="6" t="s">
        <v>76</v>
      </c>
      <c r="R851" s="8">
        <f t="shared" si="5"/>
        <v>318.01696</v>
      </c>
    </row>
    <row r="852" ht="14.25" customHeight="1">
      <c r="A852" s="6" t="s">
        <v>2219</v>
      </c>
      <c r="B852" s="6" t="s">
        <v>2220</v>
      </c>
      <c r="C852" s="6" t="s">
        <v>2221</v>
      </c>
      <c r="D852" s="6" t="s">
        <v>70</v>
      </c>
      <c r="E852" s="6" t="s">
        <v>65</v>
      </c>
      <c r="F852" s="6" t="s">
        <v>66</v>
      </c>
      <c r="G852" s="6">
        <v>1.0</v>
      </c>
      <c r="H852" s="6">
        <v>401.44</v>
      </c>
      <c r="I852" s="6">
        <v>504.63</v>
      </c>
      <c r="J852" s="6">
        <v>8.3</v>
      </c>
      <c r="K852" s="6" t="s">
        <v>24</v>
      </c>
      <c r="L852" s="6" t="s">
        <v>61</v>
      </c>
      <c r="M852" s="6">
        <f t="shared" si="1"/>
        <v>401.44</v>
      </c>
      <c r="N852" s="6">
        <f t="shared" si="2"/>
        <v>462.74571</v>
      </c>
      <c r="O852" s="6">
        <f t="shared" si="3"/>
        <v>61.30571</v>
      </c>
      <c r="P852" s="7">
        <f t="shared" si="4"/>
        <v>0.1324825032</v>
      </c>
      <c r="Q852" s="6" t="s">
        <v>49</v>
      </c>
      <c r="R852" s="8">
        <f t="shared" si="5"/>
        <v>41.88429</v>
      </c>
    </row>
    <row r="853" ht="14.25" customHeight="1">
      <c r="A853" s="6" t="s">
        <v>2222</v>
      </c>
      <c r="B853" s="6" t="s">
        <v>2223</v>
      </c>
      <c r="C853" s="6" t="s">
        <v>2224</v>
      </c>
      <c r="D853" s="6" t="s">
        <v>48</v>
      </c>
      <c r="E853" s="6" t="s">
        <v>38</v>
      </c>
      <c r="F853" s="6" t="s">
        <v>39</v>
      </c>
      <c r="G853" s="6">
        <v>5.0</v>
      </c>
      <c r="H853" s="6">
        <v>319.38</v>
      </c>
      <c r="I853" s="6">
        <v>458.03</v>
      </c>
      <c r="J853" s="6">
        <v>1.54</v>
      </c>
      <c r="K853" s="6" t="s">
        <v>44</v>
      </c>
      <c r="L853" s="6" t="s">
        <v>25</v>
      </c>
      <c r="M853" s="6">
        <f t="shared" si="1"/>
        <v>1596.9</v>
      </c>
      <c r="N853" s="6">
        <f t="shared" si="2"/>
        <v>2254.88169</v>
      </c>
      <c r="O853" s="6">
        <f t="shared" si="3"/>
        <v>657.98169</v>
      </c>
      <c r="P853" s="7">
        <f t="shared" si="4"/>
        <v>0.2918031988</v>
      </c>
      <c r="Q853" s="6" t="s">
        <v>40</v>
      </c>
      <c r="R853" s="8">
        <f t="shared" si="5"/>
        <v>35.26831</v>
      </c>
    </row>
    <row r="854" ht="14.25" customHeight="1">
      <c r="A854" s="6" t="s">
        <v>2225</v>
      </c>
      <c r="B854" s="6" t="s">
        <v>2226</v>
      </c>
      <c r="C854" s="6" t="s">
        <v>2227</v>
      </c>
      <c r="D854" s="6" t="s">
        <v>21</v>
      </c>
      <c r="E854" s="6" t="s">
        <v>59</v>
      </c>
      <c r="F854" s="6" t="s">
        <v>60</v>
      </c>
      <c r="G854" s="6">
        <v>1.0</v>
      </c>
      <c r="H854" s="6">
        <v>444.08</v>
      </c>
      <c r="I854" s="6">
        <v>529.61</v>
      </c>
      <c r="J854" s="6">
        <v>17.05</v>
      </c>
      <c r="K854" s="6" t="s">
        <v>44</v>
      </c>
      <c r="L854" s="6" t="s">
        <v>25</v>
      </c>
      <c r="M854" s="6">
        <f t="shared" si="1"/>
        <v>444.08</v>
      </c>
      <c r="N854" s="6">
        <f t="shared" si="2"/>
        <v>439.311495</v>
      </c>
      <c r="O854" s="6">
        <f t="shared" si="3"/>
        <v>-4.768505</v>
      </c>
      <c r="P854" s="7">
        <f t="shared" si="4"/>
        <v>-0.01085449631</v>
      </c>
      <c r="Q854" s="6" t="s">
        <v>76</v>
      </c>
      <c r="R854" s="8">
        <f t="shared" si="5"/>
        <v>90.298505</v>
      </c>
    </row>
    <row r="855" ht="14.25" customHeight="1">
      <c r="A855" s="6" t="s">
        <v>2228</v>
      </c>
      <c r="B855" s="6" t="s">
        <v>344</v>
      </c>
      <c r="C855" s="6" t="s">
        <v>2229</v>
      </c>
      <c r="D855" s="6" t="s">
        <v>64</v>
      </c>
      <c r="E855" s="6" t="s">
        <v>87</v>
      </c>
      <c r="F855" s="6" t="s">
        <v>88</v>
      </c>
      <c r="G855" s="6">
        <v>5.0</v>
      </c>
      <c r="H855" s="6">
        <v>58.04</v>
      </c>
      <c r="I855" s="6">
        <v>107.6</v>
      </c>
      <c r="J855" s="6">
        <v>3.73</v>
      </c>
      <c r="K855" s="6" t="s">
        <v>44</v>
      </c>
      <c r="L855" s="6" t="s">
        <v>33</v>
      </c>
      <c r="M855" s="6">
        <f t="shared" si="1"/>
        <v>290.2</v>
      </c>
      <c r="N855" s="6">
        <f t="shared" si="2"/>
        <v>517.9326</v>
      </c>
      <c r="O855" s="6">
        <f t="shared" si="3"/>
        <v>227.7326</v>
      </c>
      <c r="P855" s="7">
        <f t="shared" si="4"/>
        <v>0.4396954353</v>
      </c>
      <c r="Q855" s="6" t="s">
        <v>49</v>
      </c>
      <c r="R855" s="8">
        <f t="shared" si="5"/>
        <v>20.0674</v>
      </c>
    </row>
    <row r="856" ht="14.25" customHeight="1">
      <c r="A856" s="6" t="s">
        <v>2230</v>
      </c>
      <c r="B856" s="6" t="s">
        <v>2199</v>
      </c>
      <c r="C856" s="6" t="s">
        <v>2231</v>
      </c>
      <c r="D856" s="6" t="s">
        <v>48</v>
      </c>
      <c r="E856" s="6" t="s">
        <v>38</v>
      </c>
      <c r="F856" s="6" t="s">
        <v>71</v>
      </c>
      <c r="G856" s="6">
        <v>1.0</v>
      </c>
      <c r="H856" s="6">
        <v>138.11</v>
      </c>
      <c r="I856" s="6">
        <v>205.81</v>
      </c>
      <c r="J856" s="6">
        <v>11.15</v>
      </c>
      <c r="K856" s="6" t="s">
        <v>24</v>
      </c>
      <c r="L856" s="6" t="s">
        <v>55</v>
      </c>
      <c r="M856" s="6">
        <f t="shared" si="1"/>
        <v>138.11</v>
      </c>
      <c r="N856" s="6">
        <f t="shared" si="2"/>
        <v>182.862185</v>
      </c>
      <c r="O856" s="6">
        <f t="shared" si="3"/>
        <v>44.752185</v>
      </c>
      <c r="P856" s="7">
        <f t="shared" si="4"/>
        <v>0.2447317634</v>
      </c>
      <c r="Q856" s="6" t="s">
        <v>76</v>
      </c>
      <c r="R856" s="8">
        <f t="shared" si="5"/>
        <v>22.947815</v>
      </c>
    </row>
    <row r="857" ht="14.25" customHeight="1">
      <c r="A857" s="6" t="s">
        <v>2232</v>
      </c>
      <c r="B857" s="6" t="s">
        <v>2233</v>
      </c>
      <c r="C857" s="6" t="s">
        <v>2234</v>
      </c>
      <c r="D857" s="6" t="s">
        <v>21</v>
      </c>
      <c r="E857" s="6" t="s">
        <v>87</v>
      </c>
      <c r="F857" s="6" t="s">
        <v>88</v>
      </c>
      <c r="G857" s="6">
        <v>3.0</v>
      </c>
      <c r="H857" s="6">
        <v>324.06</v>
      </c>
      <c r="I857" s="6">
        <v>532.63</v>
      </c>
      <c r="J857" s="6">
        <v>20.45</v>
      </c>
      <c r="K857" s="6" t="s">
        <v>24</v>
      </c>
      <c r="L857" s="6" t="s">
        <v>33</v>
      </c>
      <c r="M857" s="6">
        <f t="shared" si="1"/>
        <v>972.18</v>
      </c>
      <c r="N857" s="6">
        <f t="shared" si="2"/>
        <v>1271.121495</v>
      </c>
      <c r="O857" s="6">
        <f t="shared" si="3"/>
        <v>298.941495</v>
      </c>
      <c r="P857" s="7">
        <f t="shared" si="4"/>
        <v>0.2351793249</v>
      </c>
      <c r="Q857" s="6" t="s">
        <v>26</v>
      </c>
      <c r="R857" s="8">
        <f t="shared" si="5"/>
        <v>326.768505</v>
      </c>
    </row>
    <row r="858" ht="14.25" customHeight="1">
      <c r="A858" s="6" t="s">
        <v>2235</v>
      </c>
      <c r="B858" s="6" t="s">
        <v>2223</v>
      </c>
      <c r="C858" s="6" t="s">
        <v>2236</v>
      </c>
      <c r="D858" s="6" t="s">
        <v>70</v>
      </c>
      <c r="E858" s="6" t="s">
        <v>65</v>
      </c>
      <c r="F858" s="6" t="s">
        <v>75</v>
      </c>
      <c r="G858" s="6">
        <v>2.0</v>
      </c>
      <c r="H858" s="6">
        <v>167.23</v>
      </c>
      <c r="I858" s="6">
        <v>285.82</v>
      </c>
      <c r="J858" s="6">
        <v>24.22</v>
      </c>
      <c r="K858" s="6" t="s">
        <v>44</v>
      </c>
      <c r="L858" s="6" t="s">
        <v>55</v>
      </c>
      <c r="M858" s="6">
        <f t="shared" si="1"/>
        <v>334.46</v>
      </c>
      <c r="N858" s="6">
        <f t="shared" si="2"/>
        <v>433.188792</v>
      </c>
      <c r="O858" s="6">
        <f t="shared" si="3"/>
        <v>98.728792</v>
      </c>
      <c r="P858" s="7">
        <f t="shared" si="4"/>
        <v>0.2279116954</v>
      </c>
      <c r="Q858" s="6" t="s">
        <v>49</v>
      </c>
      <c r="R858" s="8">
        <f t="shared" si="5"/>
        <v>138.451208</v>
      </c>
    </row>
    <row r="859" ht="14.25" customHeight="1">
      <c r="A859" s="6" t="s">
        <v>2237</v>
      </c>
      <c r="B859" s="6" t="s">
        <v>1474</v>
      </c>
      <c r="C859" s="6" t="s">
        <v>2238</v>
      </c>
      <c r="D859" s="6" t="s">
        <v>70</v>
      </c>
      <c r="E859" s="6" t="s">
        <v>65</v>
      </c>
      <c r="F859" s="6" t="s">
        <v>66</v>
      </c>
      <c r="G859" s="6">
        <v>8.0</v>
      </c>
      <c r="H859" s="6">
        <v>300.75</v>
      </c>
      <c r="I859" s="6">
        <v>374.1</v>
      </c>
      <c r="J859" s="6">
        <v>15.7</v>
      </c>
      <c r="K859" s="6" t="s">
        <v>44</v>
      </c>
      <c r="L859" s="6" t="s">
        <v>55</v>
      </c>
      <c r="M859" s="6">
        <f t="shared" si="1"/>
        <v>2406</v>
      </c>
      <c r="N859" s="6">
        <f t="shared" si="2"/>
        <v>2522.9304</v>
      </c>
      <c r="O859" s="6">
        <f t="shared" si="3"/>
        <v>116.9304</v>
      </c>
      <c r="P859" s="7">
        <f t="shared" si="4"/>
        <v>0.04634705737</v>
      </c>
      <c r="Q859" s="6" t="s">
        <v>26</v>
      </c>
      <c r="R859" s="8">
        <f t="shared" si="5"/>
        <v>469.8696</v>
      </c>
    </row>
    <row r="860" ht="14.25" customHeight="1">
      <c r="A860" s="6" t="s">
        <v>2239</v>
      </c>
      <c r="B860" s="6" t="s">
        <v>2240</v>
      </c>
      <c r="C860" s="6" t="s">
        <v>2241</v>
      </c>
      <c r="D860" s="6" t="s">
        <v>70</v>
      </c>
      <c r="E860" s="6" t="s">
        <v>38</v>
      </c>
      <c r="F860" s="6" t="s">
        <v>71</v>
      </c>
      <c r="G860" s="6">
        <v>4.0</v>
      </c>
      <c r="H860" s="6">
        <v>304.93</v>
      </c>
      <c r="I860" s="6">
        <v>454.44</v>
      </c>
      <c r="J860" s="6">
        <v>18.95</v>
      </c>
      <c r="K860" s="6" t="s">
        <v>24</v>
      </c>
      <c r="L860" s="6" t="s">
        <v>61</v>
      </c>
      <c r="M860" s="6">
        <f t="shared" si="1"/>
        <v>1219.72</v>
      </c>
      <c r="N860" s="6">
        <f t="shared" si="2"/>
        <v>1473.29448</v>
      </c>
      <c r="O860" s="6">
        <f t="shared" si="3"/>
        <v>253.57448</v>
      </c>
      <c r="P860" s="7">
        <f t="shared" si="4"/>
        <v>0.1721139144</v>
      </c>
      <c r="Q860" s="6" t="s">
        <v>49</v>
      </c>
      <c r="R860" s="8">
        <f t="shared" si="5"/>
        <v>344.46552</v>
      </c>
    </row>
    <row r="861" ht="14.25" customHeight="1">
      <c r="A861" s="6" t="s">
        <v>2242</v>
      </c>
      <c r="B861" s="6" t="s">
        <v>833</v>
      </c>
      <c r="C861" s="6" t="s">
        <v>2241</v>
      </c>
      <c r="D861" s="6" t="s">
        <v>70</v>
      </c>
      <c r="E861" s="6" t="s">
        <v>59</v>
      </c>
      <c r="F861" s="6" t="s">
        <v>60</v>
      </c>
      <c r="G861" s="6">
        <v>2.0</v>
      </c>
      <c r="H861" s="6">
        <v>216.39</v>
      </c>
      <c r="I861" s="6">
        <v>261.13</v>
      </c>
      <c r="J861" s="6">
        <v>23.54</v>
      </c>
      <c r="K861" s="6" t="s">
        <v>44</v>
      </c>
      <c r="L861" s="6" t="s">
        <v>61</v>
      </c>
      <c r="M861" s="6">
        <f t="shared" si="1"/>
        <v>432.78</v>
      </c>
      <c r="N861" s="6">
        <f t="shared" si="2"/>
        <v>399.319996</v>
      </c>
      <c r="O861" s="6">
        <f t="shared" si="3"/>
        <v>-33.460004</v>
      </c>
      <c r="P861" s="7">
        <f t="shared" si="4"/>
        <v>-0.08379245802</v>
      </c>
      <c r="Q861" s="6" t="s">
        <v>40</v>
      </c>
      <c r="R861" s="8">
        <f t="shared" si="5"/>
        <v>122.940004</v>
      </c>
    </row>
    <row r="862" ht="14.25" customHeight="1">
      <c r="A862" s="6" t="s">
        <v>2243</v>
      </c>
      <c r="B862" s="6" t="s">
        <v>2244</v>
      </c>
      <c r="C862" s="6" t="s">
        <v>2245</v>
      </c>
      <c r="D862" s="6" t="s">
        <v>30</v>
      </c>
      <c r="E862" s="6" t="s">
        <v>65</v>
      </c>
      <c r="F862" s="6" t="s">
        <v>66</v>
      </c>
      <c r="G862" s="6">
        <v>6.0</v>
      </c>
      <c r="H862" s="6">
        <v>400.88</v>
      </c>
      <c r="I862" s="6">
        <v>598.15</v>
      </c>
      <c r="J862" s="6">
        <v>17.56</v>
      </c>
      <c r="K862" s="6" t="s">
        <v>24</v>
      </c>
      <c r="L862" s="6" t="s">
        <v>61</v>
      </c>
      <c r="M862" s="6">
        <f t="shared" si="1"/>
        <v>2405.28</v>
      </c>
      <c r="N862" s="6">
        <f t="shared" si="2"/>
        <v>2958.68916</v>
      </c>
      <c r="O862" s="6">
        <f t="shared" si="3"/>
        <v>553.40916</v>
      </c>
      <c r="P862" s="7">
        <f t="shared" si="4"/>
        <v>0.1870453874</v>
      </c>
      <c r="Q862" s="6" t="s">
        <v>49</v>
      </c>
      <c r="R862" s="8">
        <f t="shared" si="5"/>
        <v>630.21084</v>
      </c>
    </row>
    <row r="863" ht="14.25" customHeight="1">
      <c r="A863" s="6" t="s">
        <v>2246</v>
      </c>
      <c r="B863" s="6" t="s">
        <v>2247</v>
      </c>
      <c r="C863" s="6" t="s">
        <v>2248</v>
      </c>
      <c r="D863" s="6" t="s">
        <v>70</v>
      </c>
      <c r="E863" s="6" t="s">
        <v>65</v>
      </c>
      <c r="F863" s="6" t="s">
        <v>75</v>
      </c>
      <c r="G863" s="6">
        <v>5.0</v>
      </c>
      <c r="H863" s="6">
        <v>246.04</v>
      </c>
      <c r="I863" s="6">
        <v>461.62</v>
      </c>
      <c r="J863" s="6">
        <v>12.58</v>
      </c>
      <c r="K863" s="6" t="s">
        <v>24</v>
      </c>
      <c r="L863" s="6" t="s">
        <v>33</v>
      </c>
      <c r="M863" s="6">
        <f t="shared" si="1"/>
        <v>1230.2</v>
      </c>
      <c r="N863" s="6">
        <f t="shared" si="2"/>
        <v>2017.74102</v>
      </c>
      <c r="O863" s="6">
        <f t="shared" si="3"/>
        <v>787.54102</v>
      </c>
      <c r="P863" s="7">
        <f t="shared" si="4"/>
        <v>0.3903082765</v>
      </c>
      <c r="Q863" s="6" t="s">
        <v>76</v>
      </c>
      <c r="R863" s="8">
        <f t="shared" si="5"/>
        <v>290.35898</v>
      </c>
    </row>
    <row r="864" ht="14.25" customHeight="1">
      <c r="A864" s="6" t="s">
        <v>2249</v>
      </c>
      <c r="B864" s="6" t="s">
        <v>2250</v>
      </c>
      <c r="C864" s="6" t="s">
        <v>2251</v>
      </c>
      <c r="D864" s="6" t="s">
        <v>83</v>
      </c>
      <c r="E864" s="6" t="s">
        <v>22</v>
      </c>
      <c r="F864" s="6" t="s">
        <v>23</v>
      </c>
      <c r="G864" s="6">
        <v>2.0</v>
      </c>
      <c r="H864" s="6">
        <v>150.97</v>
      </c>
      <c r="I864" s="6">
        <v>231.17</v>
      </c>
      <c r="J864" s="6">
        <v>22.68</v>
      </c>
      <c r="K864" s="6" t="s">
        <v>44</v>
      </c>
      <c r="L864" s="6" t="s">
        <v>33</v>
      </c>
      <c r="M864" s="6">
        <f t="shared" si="1"/>
        <v>301.94</v>
      </c>
      <c r="N864" s="6">
        <f t="shared" si="2"/>
        <v>357.481288</v>
      </c>
      <c r="O864" s="6">
        <f t="shared" si="3"/>
        <v>55.541288</v>
      </c>
      <c r="P864" s="7">
        <f t="shared" si="4"/>
        <v>0.1553683783</v>
      </c>
      <c r="Q864" s="6" t="s">
        <v>40</v>
      </c>
      <c r="R864" s="8">
        <f t="shared" si="5"/>
        <v>104.858712</v>
      </c>
    </row>
    <row r="865" ht="14.25" customHeight="1">
      <c r="A865" s="6" t="s">
        <v>2252</v>
      </c>
      <c r="B865" s="6" t="s">
        <v>1857</v>
      </c>
      <c r="C865" s="6" t="s">
        <v>2253</v>
      </c>
      <c r="D865" s="6" t="s">
        <v>64</v>
      </c>
      <c r="E865" s="6" t="s">
        <v>59</v>
      </c>
      <c r="F865" s="6" t="s">
        <v>60</v>
      </c>
      <c r="G865" s="6">
        <v>2.0</v>
      </c>
      <c r="H865" s="6">
        <v>138.78</v>
      </c>
      <c r="I865" s="6">
        <v>223.92</v>
      </c>
      <c r="J865" s="6">
        <v>14.64</v>
      </c>
      <c r="K865" s="6" t="s">
        <v>44</v>
      </c>
      <c r="L865" s="6" t="s">
        <v>25</v>
      </c>
      <c r="M865" s="6">
        <f t="shared" si="1"/>
        <v>277.56</v>
      </c>
      <c r="N865" s="6">
        <f t="shared" si="2"/>
        <v>382.276224</v>
      </c>
      <c r="O865" s="6">
        <f t="shared" si="3"/>
        <v>104.716224</v>
      </c>
      <c r="P865" s="7">
        <f t="shared" si="4"/>
        <v>0.2739281635</v>
      </c>
      <c r="Q865" s="6" t="s">
        <v>49</v>
      </c>
      <c r="R865" s="8">
        <f t="shared" si="5"/>
        <v>65.563776</v>
      </c>
    </row>
    <row r="866" ht="14.25" customHeight="1">
      <c r="A866" s="6" t="s">
        <v>2254</v>
      </c>
      <c r="B866" s="6" t="s">
        <v>417</v>
      </c>
      <c r="C866" s="6" t="s">
        <v>2255</v>
      </c>
      <c r="D866" s="6" t="s">
        <v>70</v>
      </c>
      <c r="E866" s="6" t="s">
        <v>59</v>
      </c>
      <c r="F866" s="6" t="s">
        <v>60</v>
      </c>
      <c r="G866" s="6">
        <v>8.0</v>
      </c>
      <c r="H866" s="6">
        <v>291.81</v>
      </c>
      <c r="I866" s="6">
        <v>427.48</v>
      </c>
      <c r="J866" s="6">
        <v>6.01</v>
      </c>
      <c r="K866" s="6" t="s">
        <v>24</v>
      </c>
      <c r="L866" s="6" t="s">
        <v>55</v>
      </c>
      <c r="M866" s="6">
        <f t="shared" si="1"/>
        <v>2334.48</v>
      </c>
      <c r="N866" s="6">
        <f t="shared" si="2"/>
        <v>3214.307616</v>
      </c>
      <c r="O866" s="6">
        <f t="shared" si="3"/>
        <v>879.827616</v>
      </c>
      <c r="P866" s="7">
        <f t="shared" si="4"/>
        <v>0.2737222821</v>
      </c>
      <c r="Q866" s="6" t="s">
        <v>40</v>
      </c>
      <c r="R866" s="8">
        <f t="shared" si="5"/>
        <v>205.532384</v>
      </c>
    </row>
    <row r="867" ht="14.25" customHeight="1">
      <c r="A867" s="6" t="s">
        <v>2256</v>
      </c>
      <c r="B867" s="6" t="s">
        <v>1773</v>
      </c>
      <c r="C867" s="6" t="s">
        <v>2257</v>
      </c>
      <c r="D867" s="6" t="s">
        <v>70</v>
      </c>
      <c r="E867" s="6" t="s">
        <v>38</v>
      </c>
      <c r="F867" s="6" t="s">
        <v>71</v>
      </c>
      <c r="G867" s="6">
        <v>4.0</v>
      </c>
      <c r="H867" s="6">
        <v>93.8</v>
      </c>
      <c r="I867" s="6">
        <v>151.97</v>
      </c>
      <c r="J867" s="6">
        <v>13.49</v>
      </c>
      <c r="K867" s="6" t="s">
        <v>44</v>
      </c>
      <c r="L867" s="6" t="s">
        <v>33</v>
      </c>
      <c r="M867" s="6">
        <f t="shared" si="1"/>
        <v>375.2</v>
      </c>
      <c r="N867" s="6">
        <f t="shared" si="2"/>
        <v>525.876988</v>
      </c>
      <c r="O867" s="6">
        <f t="shared" si="3"/>
        <v>150.676988</v>
      </c>
      <c r="P867" s="7">
        <f t="shared" si="4"/>
        <v>0.2865251598</v>
      </c>
      <c r="Q867" s="6" t="s">
        <v>40</v>
      </c>
      <c r="R867" s="8">
        <f t="shared" si="5"/>
        <v>82.003012</v>
      </c>
    </row>
    <row r="868" ht="14.25" customHeight="1">
      <c r="A868" s="6" t="s">
        <v>2258</v>
      </c>
      <c r="B868" s="6" t="s">
        <v>2259</v>
      </c>
      <c r="C868" s="6" t="s">
        <v>2260</v>
      </c>
      <c r="D868" s="6" t="s">
        <v>21</v>
      </c>
      <c r="E868" s="6" t="s">
        <v>87</v>
      </c>
      <c r="F868" s="6" t="s">
        <v>88</v>
      </c>
      <c r="G868" s="6">
        <v>4.0</v>
      </c>
      <c r="H868" s="6">
        <v>313.97</v>
      </c>
      <c r="I868" s="6">
        <v>580.28</v>
      </c>
      <c r="J868" s="6">
        <v>24.99</v>
      </c>
      <c r="K868" s="6" t="s">
        <v>44</v>
      </c>
      <c r="L868" s="6" t="s">
        <v>61</v>
      </c>
      <c r="M868" s="6">
        <f t="shared" si="1"/>
        <v>1255.88</v>
      </c>
      <c r="N868" s="6">
        <f t="shared" si="2"/>
        <v>1741.072112</v>
      </c>
      <c r="O868" s="6">
        <f t="shared" si="3"/>
        <v>485.192112</v>
      </c>
      <c r="P868" s="7">
        <f t="shared" si="4"/>
        <v>0.2786743344</v>
      </c>
      <c r="Q868" s="6" t="s">
        <v>76</v>
      </c>
      <c r="R868" s="8">
        <f t="shared" si="5"/>
        <v>580.047888</v>
      </c>
    </row>
    <row r="869" ht="14.25" customHeight="1">
      <c r="A869" s="6" t="s">
        <v>2261</v>
      </c>
      <c r="B869" s="6" t="s">
        <v>2262</v>
      </c>
      <c r="C869" s="6" t="s">
        <v>2263</v>
      </c>
      <c r="D869" s="6" t="s">
        <v>83</v>
      </c>
      <c r="E869" s="6" t="s">
        <v>59</v>
      </c>
      <c r="F869" s="6" t="s">
        <v>60</v>
      </c>
      <c r="G869" s="6">
        <v>3.0</v>
      </c>
      <c r="H869" s="6">
        <v>167.99</v>
      </c>
      <c r="I869" s="6">
        <v>236.23</v>
      </c>
      <c r="J869" s="6">
        <v>17.38</v>
      </c>
      <c r="K869" s="6" t="s">
        <v>44</v>
      </c>
      <c r="L869" s="6" t="s">
        <v>61</v>
      </c>
      <c r="M869" s="6">
        <f t="shared" si="1"/>
        <v>503.97</v>
      </c>
      <c r="N869" s="6">
        <f t="shared" si="2"/>
        <v>585.519678</v>
      </c>
      <c r="O869" s="6">
        <f t="shared" si="3"/>
        <v>81.549678</v>
      </c>
      <c r="P869" s="7">
        <f t="shared" si="4"/>
        <v>0.1392774335</v>
      </c>
      <c r="Q869" s="6" t="s">
        <v>40</v>
      </c>
      <c r="R869" s="8">
        <f t="shared" si="5"/>
        <v>123.170322</v>
      </c>
    </row>
    <row r="870" ht="14.25" customHeight="1">
      <c r="A870" s="6" t="s">
        <v>2264</v>
      </c>
      <c r="B870" s="6" t="s">
        <v>2265</v>
      </c>
      <c r="C870" s="6" t="s">
        <v>2266</v>
      </c>
      <c r="D870" s="6" t="s">
        <v>48</v>
      </c>
      <c r="E870" s="6" t="s">
        <v>65</v>
      </c>
      <c r="F870" s="6" t="s">
        <v>75</v>
      </c>
      <c r="G870" s="6">
        <v>3.0</v>
      </c>
      <c r="H870" s="6">
        <v>350.77</v>
      </c>
      <c r="I870" s="6">
        <v>451.92</v>
      </c>
      <c r="J870" s="6">
        <v>1.85</v>
      </c>
      <c r="K870" s="6" t="s">
        <v>24</v>
      </c>
      <c r="L870" s="6" t="s">
        <v>61</v>
      </c>
      <c r="M870" s="6">
        <f t="shared" si="1"/>
        <v>1052.31</v>
      </c>
      <c r="N870" s="6">
        <f t="shared" si="2"/>
        <v>1330.67844</v>
      </c>
      <c r="O870" s="6">
        <f t="shared" si="3"/>
        <v>278.36844</v>
      </c>
      <c r="P870" s="7">
        <f t="shared" si="4"/>
        <v>0.2091928686</v>
      </c>
      <c r="Q870" s="6" t="s">
        <v>26</v>
      </c>
      <c r="R870" s="8">
        <f t="shared" si="5"/>
        <v>25.08156</v>
      </c>
    </row>
    <row r="871" ht="14.25" customHeight="1">
      <c r="A871" s="6" t="s">
        <v>2267</v>
      </c>
      <c r="B871" s="6" t="s">
        <v>2268</v>
      </c>
      <c r="C871" s="6" t="s">
        <v>2269</v>
      </c>
      <c r="D871" s="6" t="s">
        <v>83</v>
      </c>
      <c r="E871" s="6" t="s">
        <v>22</v>
      </c>
      <c r="F871" s="6" t="s">
        <v>23</v>
      </c>
      <c r="G871" s="6">
        <v>5.0</v>
      </c>
      <c r="H871" s="6">
        <v>301.96</v>
      </c>
      <c r="I871" s="6">
        <v>511.85</v>
      </c>
      <c r="J871" s="6">
        <v>20.62</v>
      </c>
      <c r="K871" s="6" t="s">
        <v>24</v>
      </c>
      <c r="L871" s="6" t="s">
        <v>25</v>
      </c>
      <c r="M871" s="6">
        <f t="shared" si="1"/>
        <v>1509.8</v>
      </c>
      <c r="N871" s="6">
        <f t="shared" si="2"/>
        <v>2031.53265</v>
      </c>
      <c r="O871" s="6">
        <f t="shared" si="3"/>
        <v>521.73265</v>
      </c>
      <c r="P871" s="7">
        <f t="shared" si="4"/>
        <v>0.2568172606</v>
      </c>
      <c r="Q871" s="6" t="s">
        <v>34</v>
      </c>
      <c r="R871" s="8">
        <f t="shared" si="5"/>
        <v>527.71735</v>
      </c>
    </row>
    <row r="872" ht="14.25" customHeight="1">
      <c r="A872" s="6" t="s">
        <v>2270</v>
      </c>
      <c r="B872" s="6" t="s">
        <v>438</v>
      </c>
      <c r="C872" s="6" t="s">
        <v>2271</v>
      </c>
      <c r="D872" s="6" t="s">
        <v>30</v>
      </c>
      <c r="E872" s="6" t="s">
        <v>38</v>
      </c>
      <c r="F872" s="6" t="s">
        <v>71</v>
      </c>
      <c r="G872" s="6">
        <v>4.0</v>
      </c>
      <c r="H872" s="6">
        <v>68.15</v>
      </c>
      <c r="I872" s="6">
        <v>81.72</v>
      </c>
      <c r="J872" s="6">
        <v>20.45</v>
      </c>
      <c r="K872" s="6" t="s">
        <v>24</v>
      </c>
      <c r="L872" s="6" t="s">
        <v>55</v>
      </c>
      <c r="M872" s="6">
        <f t="shared" si="1"/>
        <v>272.6</v>
      </c>
      <c r="N872" s="6">
        <f t="shared" si="2"/>
        <v>260.03304</v>
      </c>
      <c r="O872" s="6">
        <f t="shared" si="3"/>
        <v>-12.56696</v>
      </c>
      <c r="P872" s="7">
        <f t="shared" si="4"/>
        <v>-0.04832832012</v>
      </c>
      <c r="Q872" s="6" t="s">
        <v>40</v>
      </c>
      <c r="R872" s="8">
        <f t="shared" si="5"/>
        <v>66.84696</v>
      </c>
    </row>
    <row r="873" ht="14.25" customHeight="1">
      <c r="A873" s="6" t="s">
        <v>2272</v>
      </c>
      <c r="B873" s="6" t="s">
        <v>2273</v>
      </c>
      <c r="C873" s="6" t="s">
        <v>2274</v>
      </c>
      <c r="D873" s="6" t="s">
        <v>48</v>
      </c>
      <c r="E873" s="6" t="s">
        <v>38</v>
      </c>
      <c r="F873" s="6" t="s">
        <v>39</v>
      </c>
      <c r="G873" s="6">
        <v>4.0</v>
      </c>
      <c r="H873" s="6">
        <v>363.66</v>
      </c>
      <c r="I873" s="6">
        <v>554.94</v>
      </c>
      <c r="J873" s="6">
        <v>0.62</v>
      </c>
      <c r="K873" s="6" t="s">
        <v>44</v>
      </c>
      <c r="L873" s="6" t="s">
        <v>33</v>
      </c>
      <c r="M873" s="6">
        <f t="shared" si="1"/>
        <v>1454.64</v>
      </c>
      <c r="N873" s="6">
        <f t="shared" si="2"/>
        <v>2205.997488</v>
      </c>
      <c r="O873" s="6">
        <f t="shared" si="3"/>
        <v>751.357488</v>
      </c>
      <c r="P873" s="7">
        <f t="shared" si="4"/>
        <v>0.3405976172</v>
      </c>
      <c r="Q873" s="6" t="s">
        <v>40</v>
      </c>
      <c r="R873" s="8">
        <f t="shared" si="5"/>
        <v>13.762512</v>
      </c>
    </row>
    <row r="874" ht="14.25" customHeight="1">
      <c r="A874" s="6" t="s">
        <v>2275</v>
      </c>
      <c r="B874" s="6" t="s">
        <v>142</v>
      </c>
      <c r="C874" s="6" t="s">
        <v>2276</v>
      </c>
      <c r="D874" s="6" t="s">
        <v>48</v>
      </c>
      <c r="E874" s="6" t="s">
        <v>104</v>
      </c>
      <c r="F874" s="6" t="s">
        <v>105</v>
      </c>
      <c r="G874" s="6">
        <v>1.0</v>
      </c>
      <c r="H874" s="6">
        <v>469.69</v>
      </c>
      <c r="I874" s="6">
        <v>590.42</v>
      </c>
      <c r="J874" s="6">
        <v>2.59</v>
      </c>
      <c r="K874" s="6" t="s">
        <v>24</v>
      </c>
      <c r="L874" s="6" t="s">
        <v>33</v>
      </c>
      <c r="M874" s="6">
        <f t="shared" si="1"/>
        <v>469.69</v>
      </c>
      <c r="N874" s="6">
        <f t="shared" si="2"/>
        <v>575.128122</v>
      </c>
      <c r="O874" s="6">
        <f t="shared" si="3"/>
        <v>105.438122</v>
      </c>
      <c r="P874" s="7">
        <f t="shared" si="4"/>
        <v>0.1833297973</v>
      </c>
      <c r="Q874" s="6" t="s">
        <v>26</v>
      </c>
      <c r="R874" s="8">
        <f t="shared" si="5"/>
        <v>15.291878</v>
      </c>
    </row>
    <row r="875" ht="14.25" customHeight="1">
      <c r="A875" s="6" t="s">
        <v>2277</v>
      </c>
      <c r="B875" s="6" t="s">
        <v>1223</v>
      </c>
      <c r="C875" s="6" t="s">
        <v>2278</v>
      </c>
      <c r="D875" s="6" t="s">
        <v>70</v>
      </c>
      <c r="E875" s="6" t="s">
        <v>31</v>
      </c>
      <c r="F875" s="6" t="s">
        <v>32</v>
      </c>
      <c r="G875" s="6">
        <v>6.0</v>
      </c>
      <c r="H875" s="6">
        <v>80.59</v>
      </c>
      <c r="I875" s="6">
        <v>111.43</v>
      </c>
      <c r="J875" s="6">
        <v>23.35</v>
      </c>
      <c r="K875" s="6" t="s">
        <v>24</v>
      </c>
      <c r="L875" s="6" t="s">
        <v>25</v>
      </c>
      <c r="M875" s="6">
        <f t="shared" si="1"/>
        <v>483.54</v>
      </c>
      <c r="N875" s="6">
        <f t="shared" si="2"/>
        <v>512.46657</v>
      </c>
      <c r="O875" s="6">
        <f t="shared" si="3"/>
        <v>28.92657</v>
      </c>
      <c r="P875" s="7">
        <f t="shared" si="4"/>
        <v>0.05644576972</v>
      </c>
      <c r="Q875" s="6" t="s">
        <v>49</v>
      </c>
      <c r="R875" s="8">
        <f t="shared" si="5"/>
        <v>156.11343</v>
      </c>
    </row>
    <row r="876" ht="14.25" customHeight="1">
      <c r="A876" s="6" t="s">
        <v>2279</v>
      </c>
      <c r="B876" s="6" t="s">
        <v>1539</v>
      </c>
      <c r="C876" s="6" t="s">
        <v>2280</v>
      </c>
      <c r="D876" s="6" t="s">
        <v>21</v>
      </c>
      <c r="E876" s="6" t="s">
        <v>38</v>
      </c>
      <c r="F876" s="6" t="s">
        <v>39</v>
      </c>
      <c r="G876" s="6">
        <v>8.0</v>
      </c>
      <c r="H876" s="6">
        <v>233.36</v>
      </c>
      <c r="I876" s="6">
        <v>283.17</v>
      </c>
      <c r="J876" s="6">
        <v>7.5</v>
      </c>
      <c r="K876" s="6" t="s">
        <v>44</v>
      </c>
      <c r="L876" s="6" t="s">
        <v>55</v>
      </c>
      <c r="M876" s="6">
        <f t="shared" si="1"/>
        <v>1866.88</v>
      </c>
      <c r="N876" s="6">
        <f t="shared" si="2"/>
        <v>2095.458</v>
      </c>
      <c r="O876" s="6">
        <f t="shared" si="3"/>
        <v>228.578</v>
      </c>
      <c r="P876" s="7">
        <f t="shared" si="4"/>
        <v>0.1090825967</v>
      </c>
      <c r="Q876" s="6" t="s">
        <v>26</v>
      </c>
      <c r="R876" s="8">
        <f t="shared" si="5"/>
        <v>169.902</v>
      </c>
    </row>
    <row r="877" ht="14.25" customHeight="1">
      <c r="A877" s="6" t="s">
        <v>2281</v>
      </c>
      <c r="B877" s="6" t="s">
        <v>851</v>
      </c>
      <c r="C877" s="6" t="s">
        <v>2282</v>
      </c>
      <c r="D877" s="6" t="s">
        <v>30</v>
      </c>
      <c r="E877" s="6" t="s">
        <v>38</v>
      </c>
      <c r="F877" s="6" t="s">
        <v>39</v>
      </c>
      <c r="G877" s="6">
        <v>6.0</v>
      </c>
      <c r="H877" s="6">
        <v>145.93</v>
      </c>
      <c r="I877" s="6">
        <v>236.59</v>
      </c>
      <c r="J877" s="6">
        <v>12.95</v>
      </c>
      <c r="K877" s="6" t="s">
        <v>24</v>
      </c>
      <c r="L877" s="6" t="s">
        <v>25</v>
      </c>
      <c r="M877" s="6">
        <f t="shared" si="1"/>
        <v>875.58</v>
      </c>
      <c r="N877" s="6">
        <f t="shared" si="2"/>
        <v>1235.70957</v>
      </c>
      <c r="O877" s="6">
        <f t="shared" si="3"/>
        <v>360.12957</v>
      </c>
      <c r="P877" s="7">
        <f t="shared" si="4"/>
        <v>0.2914354463</v>
      </c>
      <c r="Q877" s="6" t="s">
        <v>76</v>
      </c>
      <c r="R877" s="8">
        <f t="shared" si="5"/>
        <v>183.83043</v>
      </c>
    </row>
    <row r="878" ht="14.25" customHeight="1">
      <c r="A878" s="6" t="s">
        <v>2283</v>
      </c>
      <c r="B878" s="6" t="s">
        <v>2284</v>
      </c>
      <c r="C878" s="6" t="s">
        <v>2285</v>
      </c>
      <c r="D878" s="6" t="s">
        <v>48</v>
      </c>
      <c r="E878" s="6" t="s">
        <v>65</v>
      </c>
      <c r="F878" s="6" t="s">
        <v>75</v>
      </c>
      <c r="G878" s="6">
        <v>7.0</v>
      </c>
      <c r="H878" s="6">
        <v>194.46</v>
      </c>
      <c r="I878" s="6">
        <v>265.17</v>
      </c>
      <c r="J878" s="6">
        <v>23.75</v>
      </c>
      <c r="K878" s="6" t="s">
        <v>24</v>
      </c>
      <c r="L878" s="6" t="s">
        <v>33</v>
      </c>
      <c r="M878" s="6">
        <f t="shared" si="1"/>
        <v>1361.22</v>
      </c>
      <c r="N878" s="6">
        <f t="shared" si="2"/>
        <v>1415.344875</v>
      </c>
      <c r="O878" s="6">
        <f t="shared" si="3"/>
        <v>54.124875</v>
      </c>
      <c r="P878" s="7">
        <f t="shared" si="4"/>
        <v>0.03824147454</v>
      </c>
      <c r="Q878" s="6" t="s">
        <v>34</v>
      </c>
      <c r="R878" s="8">
        <f t="shared" si="5"/>
        <v>440.845125</v>
      </c>
    </row>
    <row r="879" ht="14.25" customHeight="1">
      <c r="A879" s="6" t="s">
        <v>2286</v>
      </c>
      <c r="B879" s="6" t="s">
        <v>414</v>
      </c>
      <c r="C879" s="6" t="s">
        <v>2287</v>
      </c>
      <c r="D879" s="6" t="s">
        <v>64</v>
      </c>
      <c r="E879" s="6" t="s">
        <v>65</v>
      </c>
      <c r="F879" s="6" t="s">
        <v>66</v>
      </c>
      <c r="G879" s="6">
        <v>3.0</v>
      </c>
      <c r="H879" s="6">
        <v>59.08</v>
      </c>
      <c r="I879" s="6">
        <v>86.71</v>
      </c>
      <c r="J879" s="6">
        <v>9.33</v>
      </c>
      <c r="K879" s="6" t="s">
        <v>24</v>
      </c>
      <c r="L879" s="6" t="s">
        <v>33</v>
      </c>
      <c r="M879" s="6">
        <f t="shared" si="1"/>
        <v>177.24</v>
      </c>
      <c r="N879" s="6">
        <f t="shared" si="2"/>
        <v>235.859871</v>
      </c>
      <c r="O879" s="6">
        <f t="shared" si="3"/>
        <v>58.619871</v>
      </c>
      <c r="P879" s="7">
        <f t="shared" si="4"/>
        <v>0.2485368569</v>
      </c>
      <c r="Q879" s="6" t="s">
        <v>49</v>
      </c>
      <c r="R879" s="8">
        <f t="shared" si="5"/>
        <v>24.270129</v>
      </c>
    </row>
    <row r="880" ht="14.25" customHeight="1">
      <c r="A880" s="6" t="s">
        <v>2288</v>
      </c>
      <c r="B880" s="6" t="s">
        <v>1659</v>
      </c>
      <c r="C880" s="6" t="s">
        <v>2289</v>
      </c>
      <c r="D880" s="6" t="s">
        <v>64</v>
      </c>
      <c r="E880" s="6" t="s">
        <v>38</v>
      </c>
      <c r="F880" s="6" t="s">
        <v>39</v>
      </c>
      <c r="G880" s="6">
        <v>2.0</v>
      </c>
      <c r="H880" s="6">
        <v>92.06</v>
      </c>
      <c r="I880" s="6">
        <v>166.37</v>
      </c>
      <c r="J880" s="6">
        <v>17.56</v>
      </c>
      <c r="K880" s="6" t="s">
        <v>44</v>
      </c>
      <c r="L880" s="6" t="s">
        <v>61</v>
      </c>
      <c r="M880" s="6">
        <f t="shared" si="1"/>
        <v>184.12</v>
      </c>
      <c r="N880" s="6">
        <f t="shared" si="2"/>
        <v>274.310856</v>
      </c>
      <c r="O880" s="6">
        <f t="shared" si="3"/>
        <v>90.190856</v>
      </c>
      <c r="P880" s="7">
        <f t="shared" si="4"/>
        <v>0.3287906914</v>
      </c>
      <c r="Q880" s="6" t="s">
        <v>26</v>
      </c>
      <c r="R880" s="8">
        <f t="shared" si="5"/>
        <v>58.429144</v>
      </c>
    </row>
    <row r="881" ht="14.25" customHeight="1">
      <c r="A881" s="6" t="s">
        <v>2290</v>
      </c>
      <c r="B881" s="6" t="s">
        <v>1565</v>
      </c>
      <c r="C881" s="6" t="s">
        <v>2291</v>
      </c>
      <c r="D881" s="6" t="s">
        <v>48</v>
      </c>
      <c r="E881" s="6" t="s">
        <v>53</v>
      </c>
      <c r="F881" s="6" t="s">
        <v>54</v>
      </c>
      <c r="G881" s="6">
        <v>1.0</v>
      </c>
      <c r="H881" s="6">
        <v>256.23</v>
      </c>
      <c r="I881" s="6">
        <v>430.46</v>
      </c>
      <c r="J881" s="6">
        <v>16.55</v>
      </c>
      <c r="K881" s="6" t="s">
        <v>24</v>
      </c>
      <c r="L881" s="6" t="s">
        <v>61</v>
      </c>
      <c r="M881" s="6">
        <f t="shared" si="1"/>
        <v>256.23</v>
      </c>
      <c r="N881" s="6">
        <f t="shared" si="2"/>
        <v>359.21887</v>
      </c>
      <c r="O881" s="6">
        <f t="shared" si="3"/>
        <v>102.98887</v>
      </c>
      <c r="P881" s="7">
        <f t="shared" si="4"/>
        <v>0.2867022827</v>
      </c>
      <c r="Q881" s="6" t="s">
        <v>40</v>
      </c>
      <c r="R881" s="8">
        <f t="shared" si="5"/>
        <v>71.24113</v>
      </c>
    </row>
    <row r="882" ht="14.25" customHeight="1">
      <c r="A882" s="6" t="s">
        <v>2292</v>
      </c>
      <c r="B882" s="6" t="s">
        <v>1706</v>
      </c>
      <c r="C882" s="6" t="s">
        <v>2293</v>
      </c>
      <c r="D882" s="6" t="s">
        <v>30</v>
      </c>
      <c r="E882" s="6" t="s">
        <v>65</v>
      </c>
      <c r="F882" s="6" t="s">
        <v>75</v>
      </c>
      <c r="G882" s="6">
        <v>5.0</v>
      </c>
      <c r="H882" s="6">
        <v>237.28</v>
      </c>
      <c r="I882" s="6">
        <v>422.51</v>
      </c>
      <c r="J882" s="6">
        <v>21.31</v>
      </c>
      <c r="K882" s="6" t="s">
        <v>44</v>
      </c>
      <c r="L882" s="6" t="s">
        <v>25</v>
      </c>
      <c r="M882" s="6">
        <f t="shared" si="1"/>
        <v>1186.4</v>
      </c>
      <c r="N882" s="6">
        <f t="shared" si="2"/>
        <v>1662.365595</v>
      </c>
      <c r="O882" s="6">
        <f t="shared" si="3"/>
        <v>475.965595</v>
      </c>
      <c r="P882" s="7">
        <f t="shared" si="4"/>
        <v>0.2863182422</v>
      </c>
      <c r="Q882" s="6" t="s">
        <v>40</v>
      </c>
      <c r="R882" s="8">
        <f t="shared" si="5"/>
        <v>450.184405</v>
      </c>
    </row>
    <row r="883" ht="14.25" customHeight="1">
      <c r="A883" s="6" t="s">
        <v>2294</v>
      </c>
      <c r="B883" s="6" t="s">
        <v>1916</v>
      </c>
      <c r="C883" s="6" t="s">
        <v>2295</v>
      </c>
      <c r="D883" s="6" t="s">
        <v>48</v>
      </c>
      <c r="E883" s="6" t="s">
        <v>65</v>
      </c>
      <c r="F883" s="6" t="s">
        <v>75</v>
      </c>
      <c r="G883" s="6">
        <v>7.0</v>
      </c>
      <c r="H883" s="6">
        <v>117.03</v>
      </c>
      <c r="I883" s="6">
        <v>224.12</v>
      </c>
      <c r="J883" s="6">
        <v>8.63</v>
      </c>
      <c r="K883" s="6" t="s">
        <v>44</v>
      </c>
      <c r="L883" s="6" t="s">
        <v>61</v>
      </c>
      <c r="M883" s="6">
        <f t="shared" si="1"/>
        <v>819.21</v>
      </c>
      <c r="N883" s="6">
        <f t="shared" si="2"/>
        <v>1433.449108</v>
      </c>
      <c r="O883" s="6">
        <f t="shared" si="3"/>
        <v>614.239108</v>
      </c>
      <c r="P883" s="7">
        <f t="shared" si="4"/>
        <v>0.428504301</v>
      </c>
      <c r="Q883" s="6" t="s">
        <v>26</v>
      </c>
      <c r="R883" s="8">
        <f t="shared" si="5"/>
        <v>135.390892</v>
      </c>
    </row>
    <row r="884" ht="14.25" customHeight="1">
      <c r="A884" s="6" t="s">
        <v>2296</v>
      </c>
      <c r="B884" s="6" t="s">
        <v>123</v>
      </c>
      <c r="C884" s="6" t="s">
        <v>2297</v>
      </c>
      <c r="D884" s="6" t="s">
        <v>48</v>
      </c>
      <c r="E884" s="6" t="s">
        <v>22</v>
      </c>
      <c r="F884" s="6" t="s">
        <v>23</v>
      </c>
      <c r="G884" s="6">
        <v>2.0</v>
      </c>
      <c r="H884" s="6">
        <v>139.82</v>
      </c>
      <c r="I884" s="6">
        <v>259.49</v>
      </c>
      <c r="J884" s="6">
        <v>16.96</v>
      </c>
      <c r="K884" s="6" t="s">
        <v>24</v>
      </c>
      <c r="L884" s="6" t="s">
        <v>25</v>
      </c>
      <c r="M884" s="6">
        <f t="shared" si="1"/>
        <v>279.64</v>
      </c>
      <c r="N884" s="6">
        <f t="shared" si="2"/>
        <v>430.960992</v>
      </c>
      <c r="O884" s="6">
        <f t="shared" si="3"/>
        <v>151.320992</v>
      </c>
      <c r="P884" s="7">
        <f t="shared" si="4"/>
        <v>0.3511245677</v>
      </c>
      <c r="Q884" s="6" t="s">
        <v>76</v>
      </c>
      <c r="R884" s="8">
        <f t="shared" si="5"/>
        <v>88.019008</v>
      </c>
    </row>
    <row r="885" ht="14.25" customHeight="1">
      <c r="A885" s="6" t="s">
        <v>2298</v>
      </c>
      <c r="B885" s="6" t="s">
        <v>544</v>
      </c>
      <c r="C885" s="6" t="s">
        <v>2297</v>
      </c>
      <c r="D885" s="6" t="s">
        <v>30</v>
      </c>
      <c r="E885" s="6" t="s">
        <v>22</v>
      </c>
      <c r="F885" s="6" t="s">
        <v>23</v>
      </c>
      <c r="G885" s="6">
        <v>4.0</v>
      </c>
      <c r="H885" s="6">
        <v>124.84</v>
      </c>
      <c r="I885" s="6">
        <v>170.0</v>
      </c>
      <c r="J885" s="6">
        <v>18.48</v>
      </c>
      <c r="K885" s="6" t="s">
        <v>24</v>
      </c>
      <c r="L885" s="6" t="s">
        <v>55</v>
      </c>
      <c r="M885" s="6">
        <f t="shared" si="1"/>
        <v>499.36</v>
      </c>
      <c r="N885" s="6">
        <f t="shared" si="2"/>
        <v>554.336</v>
      </c>
      <c r="O885" s="6">
        <f t="shared" si="3"/>
        <v>54.976</v>
      </c>
      <c r="P885" s="7">
        <f t="shared" si="4"/>
        <v>0.09917450788</v>
      </c>
      <c r="Q885" s="6" t="s">
        <v>26</v>
      </c>
      <c r="R885" s="8">
        <f t="shared" si="5"/>
        <v>125.664</v>
      </c>
    </row>
    <row r="886" ht="14.25" customHeight="1">
      <c r="A886" s="6" t="s">
        <v>2299</v>
      </c>
      <c r="B886" s="6" t="s">
        <v>2300</v>
      </c>
      <c r="C886" s="6" t="s">
        <v>2301</v>
      </c>
      <c r="D886" s="6" t="s">
        <v>83</v>
      </c>
      <c r="E886" s="6" t="s">
        <v>38</v>
      </c>
      <c r="F886" s="6" t="s">
        <v>39</v>
      </c>
      <c r="G886" s="6">
        <v>3.0</v>
      </c>
      <c r="H886" s="6">
        <v>278.32</v>
      </c>
      <c r="I886" s="6">
        <v>421.02</v>
      </c>
      <c r="J886" s="6">
        <v>10.13</v>
      </c>
      <c r="K886" s="6" t="s">
        <v>24</v>
      </c>
      <c r="L886" s="6" t="s">
        <v>61</v>
      </c>
      <c r="M886" s="6">
        <f t="shared" si="1"/>
        <v>834.96</v>
      </c>
      <c r="N886" s="6">
        <f t="shared" si="2"/>
        <v>1135.112022</v>
      </c>
      <c r="O886" s="6">
        <f t="shared" si="3"/>
        <v>300.152022</v>
      </c>
      <c r="P886" s="7">
        <f t="shared" si="4"/>
        <v>0.2644250225</v>
      </c>
      <c r="Q886" s="6" t="s">
        <v>40</v>
      </c>
      <c r="R886" s="8">
        <f t="shared" si="5"/>
        <v>127.947978</v>
      </c>
    </row>
    <row r="887" ht="14.25" customHeight="1">
      <c r="A887" s="6" t="s">
        <v>2302</v>
      </c>
      <c r="B887" s="6" t="s">
        <v>51</v>
      </c>
      <c r="C887" s="6" t="s">
        <v>2303</v>
      </c>
      <c r="D887" s="6" t="s">
        <v>70</v>
      </c>
      <c r="E887" s="6" t="s">
        <v>65</v>
      </c>
      <c r="F887" s="6" t="s">
        <v>66</v>
      </c>
      <c r="G887" s="6">
        <v>3.0</v>
      </c>
      <c r="H887" s="6">
        <v>444.3</v>
      </c>
      <c r="I887" s="6">
        <v>587.45</v>
      </c>
      <c r="J887" s="6">
        <v>10.92</v>
      </c>
      <c r="K887" s="6" t="s">
        <v>24</v>
      </c>
      <c r="L887" s="6" t="s">
        <v>33</v>
      </c>
      <c r="M887" s="6">
        <f t="shared" si="1"/>
        <v>1332.9</v>
      </c>
      <c r="N887" s="6">
        <f t="shared" si="2"/>
        <v>1569.90138</v>
      </c>
      <c r="O887" s="6">
        <f t="shared" si="3"/>
        <v>237.00138</v>
      </c>
      <c r="P887" s="7">
        <f t="shared" si="4"/>
        <v>0.150965776</v>
      </c>
      <c r="Q887" s="6" t="s">
        <v>26</v>
      </c>
      <c r="R887" s="8">
        <f t="shared" si="5"/>
        <v>192.44862</v>
      </c>
    </row>
    <row r="888" ht="14.25" customHeight="1">
      <c r="A888" s="6" t="s">
        <v>2304</v>
      </c>
      <c r="B888" s="6" t="s">
        <v>2305</v>
      </c>
      <c r="C888" s="6" t="s">
        <v>2306</v>
      </c>
      <c r="D888" s="6" t="s">
        <v>21</v>
      </c>
      <c r="E888" s="6" t="s">
        <v>53</v>
      </c>
      <c r="F888" s="6" t="s">
        <v>54</v>
      </c>
      <c r="G888" s="6">
        <v>5.0</v>
      </c>
      <c r="H888" s="6">
        <v>63.51</v>
      </c>
      <c r="I888" s="6">
        <v>99.25</v>
      </c>
      <c r="J888" s="6">
        <v>12.83</v>
      </c>
      <c r="K888" s="6" t="s">
        <v>44</v>
      </c>
      <c r="L888" s="6" t="s">
        <v>25</v>
      </c>
      <c r="M888" s="6">
        <f t="shared" si="1"/>
        <v>317.55</v>
      </c>
      <c r="N888" s="6">
        <f t="shared" si="2"/>
        <v>432.581125</v>
      </c>
      <c r="O888" s="6">
        <f t="shared" si="3"/>
        <v>115.031125</v>
      </c>
      <c r="P888" s="7">
        <f t="shared" si="4"/>
        <v>0.2659180402</v>
      </c>
      <c r="Q888" s="6" t="s">
        <v>34</v>
      </c>
      <c r="R888" s="8">
        <f t="shared" si="5"/>
        <v>63.668875</v>
      </c>
    </row>
    <row r="889" ht="14.25" customHeight="1">
      <c r="A889" s="6" t="s">
        <v>2307</v>
      </c>
      <c r="B889" s="6" t="s">
        <v>1969</v>
      </c>
      <c r="C889" s="6" t="s">
        <v>2308</v>
      </c>
      <c r="D889" s="6" t="s">
        <v>30</v>
      </c>
      <c r="E889" s="6" t="s">
        <v>65</v>
      </c>
      <c r="F889" s="6" t="s">
        <v>75</v>
      </c>
      <c r="G889" s="6">
        <v>8.0</v>
      </c>
      <c r="H889" s="6">
        <v>229.63</v>
      </c>
      <c r="I889" s="6">
        <v>418.15</v>
      </c>
      <c r="J889" s="6">
        <v>3.1</v>
      </c>
      <c r="K889" s="6" t="s">
        <v>24</v>
      </c>
      <c r="L889" s="6" t="s">
        <v>55</v>
      </c>
      <c r="M889" s="6">
        <f t="shared" si="1"/>
        <v>1837.04</v>
      </c>
      <c r="N889" s="6">
        <f t="shared" si="2"/>
        <v>3241.4988</v>
      </c>
      <c r="O889" s="6">
        <f t="shared" si="3"/>
        <v>1404.4588</v>
      </c>
      <c r="P889" s="7">
        <f t="shared" si="4"/>
        <v>0.4332745087</v>
      </c>
      <c r="Q889" s="6" t="s">
        <v>34</v>
      </c>
      <c r="R889" s="8">
        <f t="shared" si="5"/>
        <v>103.7012</v>
      </c>
    </row>
    <row r="890" ht="14.25" customHeight="1">
      <c r="A890" s="6" t="s">
        <v>2309</v>
      </c>
      <c r="B890" s="6" t="s">
        <v>603</v>
      </c>
      <c r="C890" s="6" t="s">
        <v>2310</v>
      </c>
      <c r="D890" s="6" t="s">
        <v>48</v>
      </c>
      <c r="E890" s="6" t="s">
        <v>65</v>
      </c>
      <c r="F890" s="6" t="s">
        <v>66</v>
      </c>
      <c r="G890" s="6">
        <v>6.0</v>
      </c>
      <c r="H890" s="6">
        <v>98.52</v>
      </c>
      <c r="I890" s="6">
        <v>182.48</v>
      </c>
      <c r="J890" s="6">
        <v>16.77</v>
      </c>
      <c r="K890" s="6" t="s">
        <v>24</v>
      </c>
      <c r="L890" s="6" t="s">
        <v>61</v>
      </c>
      <c r="M890" s="6">
        <f t="shared" si="1"/>
        <v>591.12</v>
      </c>
      <c r="N890" s="6">
        <f t="shared" si="2"/>
        <v>911.268624</v>
      </c>
      <c r="O890" s="6">
        <f t="shared" si="3"/>
        <v>320.148624</v>
      </c>
      <c r="P890" s="7">
        <f t="shared" si="4"/>
        <v>0.3513218996</v>
      </c>
      <c r="Q890" s="6" t="s">
        <v>26</v>
      </c>
      <c r="R890" s="8">
        <f t="shared" si="5"/>
        <v>183.611376</v>
      </c>
    </row>
    <row r="891" ht="14.25" customHeight="1">
      <c r="A891" s="6" t="s">
        <v>2311</v>
      </c>
      <c r="B891" s="6" t="s">
        <v>554</v>
      </c>
      <c r="C891" s="6" t="s">
        <v>2312</v>
      </c>
      <c r="D891" s="6" t="s">
        <v>21</v>
      </c>
      <c r="E891" s="6" t="s">
        <v>65</v>
      </c>
      <c r="F891" s="6" t="s">
        <v>75</v>
      </c>
      <c r="G891" s="6">
        <v>1.0</v>
      </c>
      <c r="H891" s="6">
        <v>137.27</v>
      </c>
      <c r="I891" s="6">
        <v>227.08</v>
      </c>
      <c r="J891" s="6">
        <v>14.67</v>
      </c>
      <c r="K891" s="6" t="s">
        <v>24</v>
      </c>
      <c r="L891" s="6" t="s">
        <v>61</v>
      </c>
      <c r="M891" s="6">
        <f t="shared" si="1"/>
        <v>137.27</v>
      </c>
      <c r="N891" s="6">
        <f t="shared" si="2"/>
        <v>193.767364</v>
      </c>
      <c r="O891" s="6">
        <f t="shared" si="3"/>
        <v>56.497364</v>
      </c>
      <c r="P891" s="7">
        <f t="shared" si="4"/>
        <v>0.2915731671</v>
      </c>
      <c r="Q891" s="6" t="s">
        <v>40</v>
      </c>
      <c r="R891" s="8">
        <f t="shared" si="5"/>
        <v>33.312636</v>
      </c>
    </row>
    <row r="892" ht="14.25" customHeight="1">
      <c r="A892" s="6" t="s">
        <v>2313</v>
      </c>
      <c r="B892" s="6" t="s">
        <v>1983</v>
      </c>
      <c r="C892" s="6" t="s">
        <v>2314</v>
      </c>
      <c r="D892" s="6" t="s">
        <v>70</v>
      </c>
      <c r="E892" s="6" t="s">
        <v>53</v>
      </c>
      <c r="F892" s="6" t="s">
        <v>54</v>
      </c>
      <c r="G892" s="6">
        <v>5.0</v>
      </c>
      <c r="H892" s="6">
        <v>263.39</v>
      </c>
      <c r="I892" s="6">
        <v>388.74</v>
      </c>
      <c r="J892" s="6">
        <v>12.74</v>
      </c>
      <c r="K892" s="6" t="s">
        <v>24</v>
      </c>
      <c r="L892" s="6" t="s">
        <v>61</v>
      </c>
      <c r="M892" s="6">
        <f t="shared" si="1"/>
        <v>1316.95</v>
      </c>
      <c r="N892" s="6">
        <f t="shared" si="2"/>
        <v>1696.07262</v>
      </c>
      <c r="O892" s="6">
        <f t="shared" si="3"/>
        <v>379.12262</v>
      </c>
      <c r="P892" s="7">
        <f t="shared" si="4"/>
        <v>0.2235297095</v>
      </c>
      <c r="Q892" s="6" t="s">
        <v>49</v>
      </c>
      <c r="R892" s="8">
        <f t="shared" si="5"/>
        <v>247.62738</v>
      </c>
    </row>
    <row r="893" ht="14.25" customHeight="1">
      <c r="A893" s="6" t="s">
        <v>2315</v>
      </c>
      <c r="B893" s="6" t="s">
        <v>2316</v>
      </c>
      <c r="C893" s="6" t="s">
        <v>2317</v>
      </c>
      <c r="D893" s="6" t="s">
        <v>48</v>
      </c>
      <c r="E893" s="6" t="s">
        <v>87</v>
      </c>
      <c r="F893" s="6" t="s">
        <v>88</v>
      </c>
      <c r="G893" s="6">
        <v>2.0</v>
      </c>
      <c r="H893" s="6">
        <v>69.95</v>
      </c>
      <c r="I893" s="6">
        <v>96.54</v>
      </c>
      <c r="J893" s="6">
        <v>9.71</v>
      </c>
      <c r="K893" s="6" t="s">
        <v>24</v>
      </c>
      <c r="L893" s="6" t="s">
        <v>25</v>
      </c>
      <c r="M893" s="6">
        <f t="shared" si="1"/>
        <v>139.9</v>
      </c>
      <c r="N893" s="6">
        <f t="shared" si="2"/>
        <v>174.331932</v>
      </c>
      <c r="O893" s="6">
        <f t="shared" si="3"/>
        <v>34.431932</v>
      </c>
      <c r="P893" s="7">
        <f t="shared" si="4"/>
        <v>0.1975078897</v>
      </c>
      <c r="Q893" s="6" t="s">
        <v>40</v>
      </c>
      <c r="R893" s="8">
        <f t="shared" si="5"/>
        <v>18.748068</v>
      </c>
    </row>
    <row r="894" ht="14.25" customHeight="1">
      <c r="A894" s="6" t="s">
        <v>2318</v>
      </c>
      <c r="B894" s="6" t="s">
        <v>1196</v>
      </c>
      <c r="C894" s="6" t="s">
        <v>2319</v>
      </c>
      <c r="D894" s="6" t="s">
        <v>30</v>
      </c>
      <c r="E894" s="6" t="s">
        <v>65</v>
      </c>
      <c r="F894" s="6" t="s">
        <v>66</v>
      </c>
      <c r="G894" s="6">
        <v>2.0</v>
      </c>
      <c r="H894" s="6">
        <v>212.53</v>
      </c>
      <c r="I894" s="6">
        <v>343.1</v>
      </c>
      <c r="J894" s="6">
        <v>21.24</v>
      </c>
      <c r="K894" s="6" t="s">
        <v>24</v>
      </c>
      <c r="L894" s="6" t="s">
        <v>55</v>
      </c>
      <c r="M894" s="6">
        <f t="shared" si="1"/>
        <v>425.06</v>
      </c>
      <c r="N894" s="6">
        <f t="shared" si="2"/>
        <v>540.45112</v>
      </c>
      <c r="O894" s="6">
        <f t="shared" si="3"/>
        <v>115.39112</v>
      </c>
      <c r="P894" s="7">
        <f t="shared" si="4"/>
        <v>0.2135088923</v>
      </c>
      <c r="Q894" s="6" t="s">
        <v>34</v>
      </c>
      <c r="R894" s="8">
        <f t="shared" si="5"/>
        <v>145.74888</v>
      </c>
    </row>
    <row r="895" ht="14.25" customHeight="1">
      <c r="A895" s="6" t="s">
        <v>2320</v>
      </c>
      <c r="B895" s="6" t="s">
        <v>985</v>
      </c>
      <c r="C895" s="6" t="s">
        <v>2321</v>
      </c>
      <c r="D895" s="6" t="s">
        <v>48</v>
      </c>
      <c r="E895" s="6" t="s">
        <v>87</v>
      </c>
      <c r="F895" s="6" t="s">
        <v>88</v>
      </c>
      <c r="G895" s="6">
        <v>5.0</v>
      </c>
      <c r="H895" s="6">
        <v>181.73</v>
      </c>
      <c r="I895" s="6">
        <v>308.53</v>
      </c>
      <c r="J895" s="6">
        <v>14.74</v>
      </c>
      <c r="K895" s="6" t="s">
        <v>24</v>
      </c>
      <c r="L895" s="6" t="s">
        <v>25</v>
      </c>
      <c r="M895" s="6">
        <f t="shared" si="1"/>
        <v>908.65</v>
      </c>
      <c r="N895" s="6">
        <f t="shared" si="2"/>
        <v>1315.26339</v>
      </c>
      <c r="O895" s="6">
        <f t="shared" si="3"/>
        <v>406.61339</v>
      </c>
      <c r="P895" s="7">
        <f t="shared" si="4"/>
        <v>0.3091497818</v>
      </c>
      <c r="Q895" s="6" t="s">
        <v>40</v>
      </c>
      <c r="R895" s="8">
        <f t="shared" si="5"/>
        <v>227.38661</v>
      </c>
    </row>
    <row r="896" ht="14.25" customHeight="1">
      <c r="A896" s="6" t="s">
        <v>2322</v>
      </c>
      <c r="B896" s="6" t="s">
        <v>897</v>
      </c>
      <c r="C896" s="6" t="s">
        <v>2323</v>
      </c>
      <c r="D896" s="6" t="s">
        <v>70</v>
      </c>
      <c r="E896" s="6" t="s">
        <v>104</v>
      </c>
      <c r="F896" s="6" t="s">
        <v>105</v>
      </c>
      <c r="G896" s="6">
        <v>5.0</v>
      </c>
      <c r="H896" s="6">
        <v>303.24</v>
      </c>
      <c r="I896" s="6">
        <v>452.18</v>
      </c>
      <c r="J896" s="6">
        <v>2.73</v>
      </c>
      <c r="K896" s="6" t="s">
        <v>24</v>
      </c>
      <c r="L896" s="6" t="s">
        <v>61</v>
      </c>
      <c r="M896" s="6">
        <f t="shared" si="1"/>
        <v>1516.2</v>
      </c>
      <c r="N896" s="6">
        <f t="shared" si="2"/>
        <v>2199.17743</v>
      </c>
      <c r="O896" s="6">
        <f t="shared" si="3"/>
        <v>682.97743</v>
      </c>
      <c r="P896" s="7">
        <f t="shared" si="4"/>
        <v>0.3105604035</v>
      </c>
      <c r="Q896" s="6" t="s">
        <v>26</v>
      </c>
      <c r="R896" s="8">
        <f t="shared" si="5"/>
        <v>61.72257</v>
      </c>
    </row>
    <row r="897" ht="14.25" customHeight="1">
      <c r="A897" s="6" t="s">
        <v>2324</v>
      </c>
      <c r="B897" s="6" t="s">
        <v>843</v>
      </c>
      <c r="C897" s="6" t="s">
        <v>2325</v>
      </c>
      <c r="D897" s="6" t="s">
        <v>21</v>
      </c>
      <c r="E897" s="6" t="s">
        <v>22</v>
      </c>
      <c r="F897" s="6" t="s">
        <v>23</v>
      </c>
      <c r="G897" s="6">
        <v>6.0</v>
      </c>
      <c r="H897" s="6">
        <v>171.0</v>
      </c>
      <c r="I897" s="6">
        <v>306.6</v>
      </c>
      <c r="J897" s="6">
        <v>18.42</v>
      </c>
      <c r="K897" s="6" t="s">
        <v>24</v>
      </c>
      <c r="L897" s="6" t="s">
        <v>25</v>
      </c>
      <c r="M897" s="6">
        <f t="shared" si="1"/>
        <v>1026</v>
      </c>
      <c r="N897" s="6">
        <f t="shared" si="2"/>
        <v>1500.74568</v>
      </c>
      <c r="O897" s="6">
        <f t="shared" si="3"/>
        <v>474.74568</v>
      </c>
      <c r="P897" s="7">
        <f t="shared" si="4"/>
        <v>0.3163398611</v>
      </c>
      <c r="Q897" s="6" t="s">
        <v>76</v>
      </c>
      <c r="R897" s="8">
        <f t="shared" si="5"/>
        <v>338.85432</v>
      </c>
    </row>
    <row r="898" ht="14.25" customHeight="1">
      <c r="A898" s="6" t="s">
        <v>2326</v>
      </c>
      <c r="B898" s="6" t="s">
        <v>2059</v>
      </c>
      <c r="C898" s="6" t="s">
        <v>2327</v>
      </c>
      <c r="D898" s="6" t="s">
        <v>70</v>
      </c>
      <c r="E898" s="6" t="s">
        <v>38</v>
      </c>
      <c r="F898" s="6" t="s">
        <v>71</v>
      </c>
      <c r="G898" s="6">
        <v>8.0</v>
      </c>
      <c r="H898" s="6">
        <v>357.25</v>
      </c>
      <c r="I898" s="6">
        <v>568.32</v>
      </c>
      <c r="J898" s="6">
        <v>0.32</v>
      </c>
      <c r="K898" s="6" t="s">
        <v>44</v>
      </c>
      <c r="L898" s="6" t="s">
        <v>61</v>
      </c>
      <c r="M898" s="6">
        <f t="shared" si="1"/>
        <v>2858</v>
      </c>
      <c r="N898" s="6">
        <f t="shared" si="2"/>
        <v>4532.011008</v>
      </c>
      <c r="O898" s="6">
        <f t="shared" si="3"/>
        <v>1674.011008</v>
      </c>
      <c r="P898" s="7">
        <f t="shared" si="4"/>
        <v>0.3693748769</v>
      </c>
      <c r="Q898" s="6" t="s">
        <v>34</v>
      </c>
      <c r="R898" s="8">
        <f t="shared" si="5"/>
        <v>14.548992</v>
      </c>
    </row>
    <row r="899" ht="14.25" customHeight="1">
      <c r="A899" s="6" t="s">
        <v>2328</v>
      </c>
      <c r="B899" s="6" t="s">
        <v>857</v>
      </c>
      <c r="C899" s="6" t="s">
        <v>2329</v>
      </c>
      <c r="D899" s="6" t="s">
        <v>30</v>
      </c>
      <c r="E899" s="6" t="s">
        <v>31</v>
      </c>
      <c r="F899" s="6" t="s">
        <v>32</v>
      </c>
      <c r="G899" s="6">
        <v>2.0</v>
      </c>
      <c r="H899" s="6">
        <v>350.62</v>
      </c>
      <c r="I899" s="6">
        <v>426.05</v>
      </c>
      <c r="J899" s="6">
        <v>15.84</v>
      </c>
      <c r="K899" s="6" t="s">
        <v>24</v>
      </c>
      <c r="L899" s="6" t="s">
        <v>33</v>
      </c>
      <c r="M899" s="6">
        <f t="shared" si="1"/>
        <v>701.24</v>
      </c>
      <c r="N899" s="6">
        <f t="shared" si="2"/>
        <v>717.12736</v>
      </c>
      <c r="O899" s="6">
        <f t="shared" si="3"/>
        <v>15.88736</v>
      </c>
      <c r="P899" s="7">
        <f t="shared" si="4"/>
        <v>0.02215416798</v>
      </c>
      <c r="Q899" s="6" t="s">
        <v>26</v>
      </c>
      <c r="R899" s="8">
        <f t="shared" si="5"/>
        <v>134.97264</v>
      </c>
    </row>
    <row r="900" ht="14.25" customHeight="1">
      <c r="A900" s="6" t="s">
        <v>2330</v>
      </c>
      <c r="B900" s="6" t="s">
        <v>2331</v>
      </c>
      <c r="C900" s="6" t="s">
        <v>2332</v>
      </c>
      <c r="D900" s="6" t="s">
        <v>48</v>
      </c>
      <c r="E900" s="6" t="s">
        <v>38</v>
      </c>
      <c r="F900" s="6" t="s">
        <v>71</v>
      </c>
      <c r="G900" s="6">
        <v>1.0</v>
      </c>
      <c r="H900" s="6">
        <v>141.45</v>
      </c>
      <c r="I900" s="6">
        <v>185.33</v>
      </c>
      <c r="J900" s="6">
        <v>14.65</v>
      </c>
      <c r="K900" s="6" t="s">
        <v>24</v>
      </c>
      <c r="L900" s="6" t="s">
        <v>25</v>
      </c>
      <c r="M900" s="6">
        <f t="shared" si="1"/>
        <v>141.45</v>
      </c>
      <c r="N900" s="6">
        <f t="shared" si="2"/>
        <v>158.179155</v>
      </c>
      <c r="O900" s="6">
        <f t="shared" si="3"/>
        <v>16.729155</v>
      </c>
      <c r="P900" s="7">
        <f t="shared" si="4"/>
        <v>0.1057608065</v>
      </c>
      <c r="Q900" s="6" t="s">
        <v>40</v>
      </c>
      <c r="R900" s="8">
        <f t="shared" si="5"/>
        <v>27.150845</v>
      </c>
    </row>
    <row r="901" ht="14.25" customHeight="1">
      <c r="A901" s="6" t="s">
        <v>2333</v>
      </c>
      <c r="B901" s="6" t="s">
        <v>1127</v>
      </c>
      <c r="C901" s="6" t="s">
        <v>2334</v>
      </c>
      <c r="D901" s="6" t="s">
        <v>21</v>
      </c>
      <c r="E901" s="6" t="s">
        <v>38</v>
      </c>
      <c r="F901" s="6" t="s">
        <v>71</v>
      </c>
      <c r="G901" s="6">
        <v>6.0</v>
      </c>
      <c r="H901" s="6">
        <v>192.9</v>
      </c>
      <c r="I901" s="6">
        <v>227.97</v>
      </c>
      <c r="J901" s="6">
        <v>13.58</v>
      </c>
      <c r="K901" s="6" t="s">
        <v>24</v>
      </c>
      <c r="L901" s="6" t="s">
        <v>55</v>
      </c>
      <c r="M901" s="6">
        <f t="shared" si="1"/>
        <v>1157.4</v>
      </c>
      <c r="N901" s="6">
        <f t="shared" si="2"/>
        <v>1182.070044</v>
      </c>
      <c r="O901" s="6">
        <f t="shared" si="3"/>
        <v>24.670044</v>
      </c>
      <c r="P901" s="7">
        <f t="shared" si="4"/>
        <v>0.02087020488</v>
      </c>
      <c r="Q901" s="6" t="s">
        <v>76</v>
      </c>
      <c r="R901" s="8">
        <f t="shared" si="5"/>
        <v>185.749956</v>
      </c>
    </row>
    <row r="902" ht="14.25" customHeight="1">
      <c r="A902" s="6" t="s">
        <v>2335</v>
      </c>
      <c r="B902" s="6" t="s">
        <v>1873</v>
      </c>
      <c r="C902" s="6" t="s">
        <v>2336</v>
      </c>
      <c r="D902" s="6" t="s">
        <v>30</v>
      </c>
      <c r="E902" s="6" t="s">
        <v>38</v>
      </c>
      <c r="F902" s="6" t="s">
        <v>39</v>
      </c>
      <c r="G902" s="6">
        <v>7.0</v>
      </c>
      <c r="H902" s="6">
        <v>397.73</v>
      </c>
      <c r="I902" s="6">
        <v>482.15</v>
      </c>
      <c r="J902" s="6">
        <v>20.68</v>
      </c>
      <c r="K902" s="6" t="s">
        <v>44</v>
      </c>
      <c r="L902" s="6" t="s">
        <v>33</v>
      </c>
      <c r="M902" s="6">
        <f t="shared" si="1"/>
        <v>2784.11</v>
      </c>
      <c r="N902" s="6">
        <f t="shared" si="2"/>
        <v>2677.08966</v>
      </c>
      <c r="O902" s="6">
        <f t="shared" si="3"/>
        <v>-107.02034</v>
      </c>
      <c r="P902" s="7">
        <f t="shared" si="4"/>
        <v>-0.03997637494</v>
      </c>
      <c r="Q902" s="6" t="s">
        <v>76</v>
      </c>
      <c r="R902" s="8">
        <f t="shared" si="5"/>
        <v>697.96034</v>
      </c>
    </row>
    <row r="903" ht="14.25" customHeight="1">
      <c r="A903" s="6" t="s">
        <v>2337</v>
      </c>
      <c r="B903" s="6" t="s">
        <v>1223</v>
      </c>
      <c r="C903" s="6" t="s">
        <v>2338</v>
      </c>
      <c r="D903" s="6" t="s">
        <v>48</v>
      </c>
      <c r="E903" s="6" t="s">
        <v>31</v>
      </c>
      <c r="F903" s="6" t="s">
        <v>32</v>
      </c>
      <c r="G903" s="6">
        <v>4.0</v>
      </c>
      <c r="H903" s="6">
        <v>119.64</v>
      </c>
      <c r="I903" s="6">
        <v>191.88</v>
      </c>
      <c r="J903" s="6">
        <v>1.26</v>
      </c>
      <c r="K903" s="6" t="s">
        <v>24</v>
      </c>
      <c r="L903" s="6" t="s">
        <v>55</v>
      </c>
      <c r="M903" s="6">
        <f t="shared" si="1"/>
        <v>478.56</v>
      </c>
      <c r="N903" s="6">
        <f t="shared" si="2"/>
        <v>757.849248</v>
      </c>
      <c r="O903" s="6">
        <f t="shared" si="3"/>
        <v>279.289248</v>
      </c>
      <c r="P903" s="7">
        <f t="shared" si="4"/>
        <v>0.3685287658</v>
      </c>
      <c r="Q903" s="6" t="s">
        <v>26</v>
      </c>
      <c r="R903" s="8">
        <f t="shared" si="5"/>
        <v>9.670752</v>
      </c>
    </row>
    <row r="904" ht="14.25" customHeight="1">
      <c r="A904" s="6" t="s">
        <v>2339</v>
      </c>
      <c r="B904" s="6" t="s">
        <v>833</v>
      </c>
      <c r="C904" s="6" t="s">
        <v>2340</v>
      </c>
      <c r="D904" s="6" t="s">
        <v>64</v>
      </c>
      <c r="E904" s="6" t="s">
        <v>104</v>
      </c>
      <c r="F904" s="6" t="s">
        <v>105</v>
      </c>
      <c r="G904" s="6">
        <v>4.0</v>
      </c>
      <c r="H904" s="6">
        <v>421.94</v>
      </c>
      <c r="I904" s="6">
        <v>503.91</v>
      </c>
      <c r="J904" s="6">
        <v>12.64</v>
      </c>
      <c r="K904" s="6" t="s">
        <v>24</v>
      </c>
      <c r="L904" s="6" t="s">
        <v>61</v>
      </c>
      <c r="M904" s="6">
        <f t="shared" si="1"/>
        <v>1687.76</v>
      </c>
      <c r="N904" s="6">
        <f t="shared" si="2"/>
        <v>1760.863104</v>
      </c>
      <c r="O904" s="6">
        <f t="shared" si="3"/>
        <v>73.103104</v>
      </c>
      <c r="P904" s="7">
        <f t="shared" si="4"/>
        <v>0.04151549535</v>
      </c>
      <c r="Q904" s="6" t="s">
        <v>34</v>
      </c>
      <c r="R904" s="8">
        <f t="shared" si="5"/>
        <v>254.776896</v>
      </c>
    </row>
    <row r="905" ht="14.25" customHeight="1">
      <c r="A905" s="6" t="s">
        <v>2341</v>
      </c>
      <c r="B905" s="6" t="s">
        <v>68</v>
      </c>
      <c r="C905" s="6" t="s">
        <v>2342</v>
      </c>
      <c r="D905" s="6" t="s">
        <v>83</v>
      </c>
      <c r="E905" s="6" t="s">
        <v>38</v>
      </c>
      <c r="F905" s="6" t="s">
        <v>71</v>
      </c>
      <c r="G905" s="6">
        <v>3.0</v>
      </c>
      <c r="H905" s="6">
        <v>50.49</v>
      </c>
      <c r="I905" s="6">
        <v>87.66</v>
      </c>
      <c r="J905" s="6">
        <v>10.51</v>
      </c>
      <c r="K905" s="6" t="s">
        <v>24</v>
      </c>
      <c r="L905" s="6" t="s">
        <v>25</v>
      </c>
      <c r="M905" s="6">
        <f t="shared" si="1"/>
        <v>151.47</v>
      </c>
      <c r="N905" s="6">
        <f t="shared" si="2"/>
        <v>235.340802</v>
      </c>
      <c r="O905" s="6">
        <f t="shared" si="3"/>
        <v>83.870802</v>
      </c>
      <c r="P905" s="7">
        <f t="shared" si="4"/>
        <v>0.3563801996</v>
      </c>
      <c r="Q905" s="6" t="s">
        <v>40</v>
      </c>
      <c r="R905" s="8">
        <f t="shared" si="5"/>
        <v>27.639198</v>
      </c>
    </row>
    <row r="906" ht="14.25" customHeight="1">
      <c r="A906" s="6" t="s">
        <v>2343</v>
      </c>
      <c r="B906" s="6" t="s">
        <v>2344</v>
      </c>
      <c r="C906" s="6" t="s">
        <v>2345</v>
      </c>
      <c r="D906" s="6" t="s">
        <v>21</v>
      </c>
      <c r="E906" s="6" t="s">
        <v>31</v>
      </c>
      <c r="F906" s="6" t="s">
        <v>32</v>
      </c>
      <c r="G906" s="6">
        <v>3.0</v>
      </c>
      <c r="H906" s="6">
        <v>193.95</v>
      </c>
      <c r="I906" s="6">
        <v>357.49</v>
      </c>
      <c r="J906" s="6">
        <v>0.62</v>
      </c>
      <c r="K906" s="6" t="s">
        <v>24</v>
      </c>
      <c r="L906" s="6" t="s">
        <v>55</v>
      </c>
      <c r="M906" s="6">
        <f t="shared" si="1"/>
        <v>581.85</v>
      </c>
      <c r="N906" s="6">
        <f t="shared" si="2"/>
        <v>1065.820686</v>
      </c>
      <c r="O906" s="6">
        <f t="shared" si="3"/>
        <v>483.970686</v>
      </c>
      <c r="P906" s="7">
        <f t="shared" si="4"/>
        <v>0.4540826542</v>
      </c>
      <c r="Q906" s="6" t="s">
        <v>76</v>
      </c>
      <c r="R906" s="8">
        <f t="shared" si="5"/>
        <v>6.649314</v>
      </c>
    </row>
    <row r="907" ht="14.25" customHeight="1">
      <c r="A907" s="6" t="s">
        <v>2346</v>
      </c>
      <c r="B907" s="6" t="s">
        <v>715</v>
      </c>
      <c r="C907" s="6" t="s">
        <v>2347</v>
      </c>
      <c r="D907" s="6" t="s">
        <v>64</v>
      </c>
      <c r="E907" s="6" t="s">
        <v>59</v>
      </c>
      <c r="F907" s="6" t="s">
        <v>60</v>
      </c>
      <c r="G907" s="6">
        <v>8.0</v>
      </c>
      <c r="H907" s="6">
        <v>54.95</v>
      </c>
      <c r="I907" s="6">
        <v>109.18</v>
      </c>
      <c r="J907" s="6">
        <v>4.28</v>
      </c>
      <c r="K907" s="6" t="s">
        <v>24</v>
      </c>
      <c r="L907" s="6" t="s">
        <v>25</v>
      </c>
      <c r="M907" s="6">
        <f t="shared" si="1"/>
        <v>439.6</v>
      </c>
      <c r="N907" s="6">
        <f t="shared" si="2"/>
        <v>836.056768</v>
      </c>
      <c r="O907" s="6">
        <f t="shared" si="3"/>
        <v>396.456768</v>
      </c>
      <c r="P907" s="7">
        <f t="shared" si="4"/>
        <v>0.4741983836</v>
      </c>
      <c r="Q907" s="6" t="s">
        <v>26</v>
      </c>
      <c r="R907" s="8">
        <f t="shared" si="5"/>
        <v>37.383232</v>
      </c>
    </row>
    <row r="908" ht="14.25" customHeight="1">
      <c r="A908" s="6" t="s">
        <v>2348</v>
      </c>
      <c r="B908" s="6" t="s">
        <v>838</v>
      </c>
      <c r="C908" s="6" t="s">
        <v>2349</v>
      </c>
      <c r="D908" s="6" t="s">
        <v>48</v>
      </c>
      <c r="E908" s="6" t="s">
        <v>31</v>
      </c>
      <c r="F908" s="6" t="s">
        <v>32</v>
      </c>
      <c r="G908" s="6">
        <v>7.0</v>
      </c>
      <c r="H908" s="6">
        <v>108.48</v>
      </c>
      <c r="I908" s="6">
        <v>171.36</v>
      </c>
      <c r="J908" s="6">
        <v>17.59</v>
      </c>
      <c r="K908" s="6" t="s">
        <v>24</v>
      </c>
      <c r="L908" s="6" t="s">
        <v>25</v>
      </c>
      <c r="M908" s="6">
        <f t="shared" si="1"/>
        <v>759.36</v>
      </c>
      <c r="N908" s="6">
        <f t="shared" si="2"/>
        <v>988.524432</v>
      </c>
      <c r="O908" s="6">
        <f t="shared" si="3"/>
        <v>229.164432</v>
      </c>
      <c r="P908" s="7">
        <f t="shared" si="4"/>
        <v>0.2318247527</v>
      </c>
      <c r="Q908" s="6" t="s">
        <v>34</v>
      </c>
      <c r="R908" s="8">
        <f t="shared" si="5"/>
        <v>210.995568</v>
      </c>
    </row>
    <row r="909" ht="14.25" customHeight="1">
      <c r="A909" s="6" t="s">
        <v>2350</v>
      </c>
      <c r="B909" s="6" t="s">
        <v>2351</v>
      </c>
      <c r="C909" s="6" t="s">
        <v>2352</v>
      </c>
      <c r="D909" s="6" t="s">
        <v>21</v>
      </c>
      <c r="E909" s="6" t="s">
        <v>104</v>
      </c>
      <c r="F909" s="6" t="s">
        <v>105</v>
      </c>
      <c r="G909" s="6">
        <v>5.0</v>
      </c>
      <c r="H909" s="6">
        <v>246.36</v>
      </c>
      <c r="I909" s="6">
        <v>375.49</v>
      </c>
      <c r="J909" s="6">
        <v>21.16</v>
      </c>
      <c r="K909" s="6" t="s">
        <v>44</v>
      </c>
      <c r="L909" s="6" t="s">
        <v>55</v>
      </c>
      <c r="M909" s="6">
        <f t="shared" si="1"/>
        <v>1231.8</v>
      </c>
      <c r="N909" s="6">
        <f t="shared" si="2"/>
        <v>1480.18158</v>
      </c>
      <c r="O909" s="6">
        <f t="shared" si="3"/>
        <v>248.38158</v>
      </c>
      <c r="P909" s="7">
        <f t="shared" si="4"/>
        <v>0.1678048041</v>
      </c>
      <c r="Q909" s="6" t="s">
        <v>26</v>
      </c>
      <c r="R909" s="8">
        <f t="shared" si="5"/>
        <v>397.26842</v>
      </c>
    </row>
    <row r="910" ht="14.25" customHeight="1">
      <c r="A910" s="6" t="s">
        <v>2353</v>
      </c>
      <c r="B910" s="6" t="s">
        <v>2354</v>
      </c>
      <c r="C910" s="6" t="s">
        <v>2355</v>
      </c>
      <c r="D910" s="6" t="s">
        <v>83</v>
      </c>
      <c r="E910" s="6" t="s">
        <v>53</v>
      </c>
      <c r="F910" s="6" t="s">
        <v>54</v>
      </c>
      <c r="G910" s="6">
        <v>1.0</v>
      </c>
      <c r="H910" s="6">
        <v>303.05</v>
      </c>
      <c r="I910" s="6">
        <v>380.53</v>
      </c>
      <c r="J910" s="6">
        <v>5.92</v>
      </c>
      <c r="K910" s="6" t="s">
        <v>24</v>
      </c>
      <c r="L910" s="6" t="s">
        <v>55</v>
      </c>
      <c r="M910" s="6">
        <f t="shared" si="1"/>
        <v>303.05</v>
      </c>
      <c r="N910" s="6">
        <f t="shared" si="2"/>
        <v>358.002624</v>
      </c>
      <c r="O910" s="6">
        <f t="shared" si="3"/>
        <v>54.952624</v>
      </c>
      <c r="P910" s="7">
        <f t="shared" si="4"/>
        <v>0.1534978246</v>
      </c>
      <c r="Q910" s="6" t="s">
        <v>49</v>
      </c>
      <c r="R910" s="8">
        <f t="shared" si="5"/>
        <v>22.527376</v>
      </c>
    </row>
    <row r="911" ht="14.25" customHeight="1">
      <c r="A911" s="6" t="s">
        <v>2356</v>
      </c>
      <c r="B911" s="6" t="s">
        <v>220</v>
      </c>
      <c r="C911" s="6" t="s">
        <v>2357</v>
      </c>
      <c r="D911" s="6" t="s">
        <v>83</v>
      </c>
      <c r="E911" s="6" t="s">
        <v>59</v>
      </c>
      <c r="F911" s="6" t="s">
        <v>60</v>
      </c>
      <c r="G911" s="6">
        <v>8.0</v>
      </c>
      <c r="H911" s="6">
        <v>290.97</v>
      </c>
      <c r="I911" s="6">
        <v>368.16</v>
      </c>
      <c r="J911" s="6">
        <v>22.98</v>
      </c>
      <c r="K911" s="6" t="s">
        <v>44</v>
      </c>
      <c r="L911" s="6" t="s">
        <v>61</v>
      </c>
      <c r="M911" s="6">
        <f t="shared" si="1"/>
        <v>2327.76</v>
      </c>
      <c r="N911" s="6">
        <f t="shared" si="2"/>
        <v>2268.454656</v>
      </c>
      <c r="O911" s="6">
        <f t="shared" si="3"/>
        <v>-59.305344</v>
      </c>
      <c r="P911" s="7">
        <f t="shared" si="4"/>
        <v>-0.02614349987</v>
      </c>
      <c r="Q911" s="6" t="s">
        <v>76</v>
      </c>
      <c r="R911" s="8">
        <f t="shared" si="5"/>
        <v>676.825344</v>
      </c>
    </row>
    <row r="912" ht="14.25" customHeight="1">
      <c r="A912" s="6" t="s">
        <v>2358</v>
      </c>
      <c r="B912" s="6" t="s">
        <v>309</v>
      </c>
      <c r="C912" s="6" t="s">
        <v>2359</v>
      </c>
      <c r="D912" s="6" t="s">
        <v>70</v>
      </c>
      <c r="E912" s="6" t="s">
        <v>59</v>
      </c>
      <c r="F912" s="6" t="s">
        <v>60</v>
      </c>
      <c r="G912" s="6">
        <v>6.0</v>
      </c>
      <c r="H912" s="6">
        <v>116.55</v>
      </c>
      <c r="I912" s="6">
        <v>221.05</v>
      </c>
      <c r="J912" s="6">
        <v>9.32</v>
      </c>
      <c r="K912" s="6" t="s">
        <v>44</v>
      </c>
      <c r="L912" s="6" t="s">
        <v>33</v>
      </c>
      <c r="M912" s="6">
        <f t="shared" si="1"/>
        <v>699.3</v>
      </c>
      <c r="N912" s="6">
        <f t="shared" si="2"/>
        <v>1202.68884</v>
      </c>
      <c r="O912" s="6">
        <f t="shared" si="3"/>
        <v>503.38884</v>
      </c>
      <c r="P912" s="7">
        <f t="shared" si="4"/>
        <v>0.4185528486</v>
      </c>
      <c r="Q912" s="6" t="s">
        <v>76</v>
      </c>
      <c r="R912" s="8">
        <f t="shared" si="5"/>
        <v>123.61116</v>
      </c>
    </row>
    <row r="913" ht="14.25" customHeight="1">
      <c r="A913" s="6" t="s">
        <v>2360</v>
      </c>
      <c r="B913" s="6" t="s">
        <v>807</v>
      </c>
      <c r="C913" s="6" t="s">
        <v>2361</v>
      </c>
      <c r="D913" s="6" t="s">
        <v>48</v>
      </c>
      <c r="E913" s="6" t="s">
        <v>31</v>
      </c>
      <c r="F913" s="6" t="s">
        <v>32</v>
      </c>
      <c r="G913" s="6">
        <v>5.0</v>
      </c>
      <c r="H913" s="6">
        <v>98.78</v>
      </c>
      <c r="I913" s="6">
        <v>121.06</v>
      </c>
      <c r="J913" s="6">
        <v>17.86</v>
      </c>
      <c r="K913" s="6" t="s">
        <v>44</v>
      </c>
      <c r="L913" s="6" t="s">
        <v>25</v>
      </c>
      <c r="M913" s="6">
        <f t="shared" si="1"/>
        <v>493.9</v>
      </c>
      <c r="N913" s="6">
        <f t="shared" si="2"/>
        <v>497.19342</v>
      </c>
      <c r="O913" s="6">
        <f t="shared" si="3"/>
        <v>3.29342</v>
      </c>
      <c r="P913" s="7">
        <f t="shared" si="4"/>
        <v>0.006624021694</v>
      </c>
      <c r="Q913" s="6" t="s">
        <v>34</v>
      </c>
      <c r="R913" s="8">
        <f t="shared" si="5"/>
        <v>108.10658</v>
      </c>
    </row>
    <row r="914" ht="14.25" customHeight="1">
      <c r="A914" s="6" t="s">
        <v>2362</v>
      </c>
      <c r="B914" s="6" t="s">
        <v>2363</v>
      </c>
      <c r="C914" s="6" t="s">
        <v>2364</v>
      </c>
      <c r="D914" s="6" t="s">
        <v>83</v>
      </c>
      <c r="E914" s="6" t="s">
        <v>65</v>
      </c>
      <c r="F914" s="6" t="s">
        <v>66</v>
      </c>
      <c r="G914" s="6">
        <v>8.0</v>
      </c>
      <c r="H914" s="6">
        <v>243.18</v>
      </c>
      <c r="I914" s="6">
        <v>363.15</v>
      </c>
      <c r="J914" s="6">
        <v>22.82</v>
      </c>
      <c r="K914" s="6" t="s">
        <v>24</v>
      </c>
      <c r="L914" s="6" t="s">
        <v>55</v>
      </c>
      <c r="M914" s="6">
        <f t="shared" si="1"/>
        <v>1945.44</v>
      </c>
      <c r="N914" s="6">
        <f t="shared" si="2"/>
        <v>2242.23336</v>
      </c>
      <c r="O914" s="6">
        <f t="shared" si="3"/>
        <v>296.79336</v>
      </c>
      <c r="P914" s="7">
        <f t="shared" si="4"/>
        <v>0.132365063</v>
      </c>
      <c r="Q914" s="6" t="s">
        <v>76</v>
      </c>
      <c r="R914" s="8">
        <f t="shared" si="5"/>
        <v>662.96664</v>
      </c>
    </row>
    <row r="915" ht="14.25" customHeight="1">
      <c r="A915" s="6" t="s">
        <v>2365</v>
      </c>
      <c r="B915" s="6" t="s">
        <v>2366</v>
      </c>
      <c r="C915" s="6" t="s">
        <v>2367</v>
      </c>
      <c r="D915" s="6" t="s">
        <v>70</v>
      </c>
      <c r="E915" s="6" t="s">
        <v>22</v>
      </c>
      <c r="F915" s="6" t="s">
        <v>23</v>
      </c>
      <c r="G915" s="6">
        <v>5.0</v>
      </c>
      <c r="H915" s="6">
        <v>87.92</v>
      </c>
      <c r="I915" s="6">
        <v>145.09</v>
      </c>
      <c r="J915" s="6">
        <v>13.34</v>
      </c>
      <c r="K915" s="6" t="s">
        <v>44</v>
      </c>
      <c r="L915" s="6" t="s">
        <v>33</v>
      </c>
      <c r="M915" s="6">
        <f t="shared" si="1"/>
        <v>439.6</v>
      </c>
      <c r="N915" s="6">
        <f t="shared" si="2"/>
        <v>628.67497</v>
      </c>
      <c r="O915" s="6">
        <f t="shared" si="3"/>
        <v>189.07497</v>
      </c>
      <c r="P915" s="7">
        <f t="shared" si="4"/>
        <v>0.3007515473</v>
      </c>
      <c r="Q915" s="6" t="s">
        <v>76</v>
      </c>
      <c r="R915" s="8">
        <f t="shared" si="5"/>
        <v>96.77503</v>
      </c>
    </row>
    <row r="916" ht="14.25" customHeight="1">
      <c r="A916" s="6" t="s">
        <v>2368</v>
      </c>
      <c r="B916" s="6" t="s">
        <v>707</v>
      </c>
      <c r="C916" s="6" t="s">
        <v>2369</v>
      </c>
      <c r="D916" s="6" t="s">
        <v>21</v>
      </c>
      <c r="E916" s="6" t="s">
        <v>31</v>
      </c>
      <c r="F916" s="6" t="s">
        <v>32</v>
      </c>
      <c r="G916" s="6">
        <v>8.0</v>
      </c>
      <c r="H916" s="6">
        <v>188.96</v>
      </c>
      <c r="I916" s="6">
        <v>223.99</v>
      </c>
      <c r="J916" s="6">
        <v>8.94</v>
      </c>
      <c r="K916" s="6" t="s">
        <v>24</v>
      </c>
      <c r="L916" s="6" t="s">
        <v>61</v>
      </c>
      <c r="M916" s="6">
        <f t="shared" si="1"/>
        <v>1511.68</v>
      </c>
      <c r="N916" s="6">
        <f t="shared" si="2"/>
        <v>1631.722352</v>
      </c>
      <c r="O916" s="6">
        <f t="shared" si="3"/>
        <v>120.042352</v>
      </c>
      <c r="P916" s="7">
        <f t="shared" si="4"/>
        <v>0.07356787866</v>
      </c>
      <c r="Q916" s="6" t="s">
        <v>26</v>
      </c>
      <c r="R916" s="8">
        <f t="shared" si="5"/>
        <v>160.197648</v>
      </c>
    </row>
    <row r="917" ht="14.25" customHeight="1">
      <c r="A917" s="6" t="s">
        <v>2370</v>
      </c>
      <c r="B917" s="6" t="s">
        <v>2371</v>
      </c>
      <c r="C917" s="6" t="s">
        <v>2372</v>
      </c>
      <c r="D917" s="6" t="s">
        <v>30</v>
      </c>
      <c r="E917" s="6" t="s">
        <v>38</v>
      </c>
      <c r="F917" s="6" t="s">
        <v>71</v>
      </c>
      <c r="G917" s="6">
        <v>7.0</v>
      </c>
      <c r="H917" s="6">
        <v>74.5</v>
      </c>
      <c r="I917" s="6">
        <v>115.21</v>
      </c>
      <c r="J917" s="6">
        <v>23.28</v>
      </c>
      <c r="K917" s="6" t="s">
        <v>44</v>
      </c>
      <c r="L917" s="6" t="s">
        <v>55</v>
      </c>
      <c r="M917" s="6">
        <f t="shared" si="1"/>
        <v>521.5</v>
      </c>
      <c r="N917" s="6">
        <f t="shared" si="2"/>
        <v>618.723784</v>
      </c>
      <c r="O917" s="6">
        <f t="shared" si="3"/>
        <v>97.223784</v>
      </c>
      <c r="P917" s="7">
        <f t="shared" si="4"/>
        <v>0.1571360056</v>
      </c>
      <c r="Q917" s="6" t="s">
        <v>76</v>
      </c>
      <c r="R917" s="8">
        <f t="shared" si="5"/>
        <v>187.746216</v>
      </c>
    </row>
    <row r="918" ht="14.25" customHeight="1">
      <c r="A918" s="6" t="s">
        <v>2373</v>
      </c>
      <c r="B918" s="6" t="s">
        <v>687</v>
      </c>
      <c r="C918" s="6" t="s">
        <v>2374</v>
      </c>
      <c r="D918" s="6" t="s">
        <v>64</v>
      </c>
      <c r="E918" s="6" t="s">
        <v>104</v>
      </c>
      <c r="F918" s="6" t="s">
        <v>105</v>
      </c>
      <c r="G918" s="6">
        <v>2.0</v>
      </c>
      <c r="H918" s="6">
        <v>199.88</v>
      </c>
      <c r="I918" s="6">
        <v>281.45</v>
      </c>
      <c r="J918" s="6">
        <v>22.07</v>
      </c>
      <c r="K918" s="6" t="s">
        <v>24</v>
      </c>
      <c r="L918" s="6" t="s">
        <v>33</v>
      </c>
      <c r="M918" s="6">
        <f t="shared" si="1"/>
        <v>399.76</v>
      </c>
      <c r="N918" s="6">
        <f t="shared" si="2"/>
        <v>438.66797</v>
      </c>
      <c r="O918" s="6">
        <f t="shared" si="3"/>
        <v>38.90797</v>
      </c>
      <c r="P918" s="7">
        <f t="shared" si="4"/>
        <v>0.08869571672</v>
      </c>
      <c r="Q918" s="6" t="s">
        <v>40</v>
      </c>
      <c r="R918" s="8">
        <f t="shared" si="5"/>
        <v>124.23203</v>
      </c>
    </row>
    <row r="919" ht="14.25" customHeight="1">
      <c r="A919" s="6" t="s">
        <v>2375</v>
      </c>
      <c r="B919" s="6" t="s">
        <v>315</v>
      </c>
      <c r="C919" s="6" t="s">
        <v>2376</v>
      </c>
      <c r="D919" s="6" t="s">
        <v>70</v>
      </c>
      <c r="E919" s="6" t="s">
        <v>22</v>
      </c>
      <c r="F919" s="6" t="s">
        <v>23</v>
      </c>
      <c r="G919" s="6">
        <v>1.0</v>
      </c>
      <c r="H919" s="6">
        <v>313.38</v>
      </c>
      <c r="I919" s="6">
        <v>586.26</v>
      </c>
      <c r="J919" s="6">
        <v>5.35</v>
      </c>
      <c r="K919" s="6" t="s">
        <v>24</v>
      </c>
      <c r="L919" s="6" t="s">
        <v>55</v>
      </c>
      <c r="M919" s="6">
        <f t="shared" si="1"/>
        <v>313.38</v>
      </c>
      <c r="N919" s="6">
        <f t="shared" si="2"/>
        <v>554.89509</v>
      </c>
      <c r="O919" s="6">
        <f t="shared" si="3"/>
        <v>241.51509</v>
      </c>
      <c r="P919" s="7">
        <f t="shared" si="4"/>
        <v>0.4352445973</v>
      </c>
      <c r="Q919" s="6" t="s">
        <v>26</v>
      </c>
      <c r="R919" s="8">
        <f t="shared" si="5"/>
        <v>31.36491</v>
      </c>
    </row>
    <row r="920" ht="14.25" customHeight="1">
      <c r="A920" s="6" t="s">
        <v>2377</v>
      </c>
      <c r="B920" s="6" t="s">
        <v>737</v>
      </c>
      <c r="C920" s="6" t="s">
        <v>2378</v>
      </c>
      <c r="D920" s="6" t="s">
        <v>30</v>
      </c>
      <c r="E920" s="6" t="s">
        <v>87</v>
      </c>
      <c r="F920" s="6" t="s">
        <v>88</v>
      </c>
      <c r="G920" s="6">
        <v>3.0</v>
      </c>
      <c r="H920" s="6">
        <v>429.42</v>
      </c>
      <c r="I920" s="6">
        <v>532.33</v>
      </c>
      <c r="J920" s="6">
        <v>19.62</v>
      </c>
      <c r="K920" s="6" t="s">
        <v>44</v>
      </c>
      <c r="L920" s="6" t="s">
        <v>61</v>
      </c>
      <c r="M920" s="6">
        <f t="shared" si="1"/>
        <v>1288.26</v>
      </c>
      <c r="N920" s="6">
        <f t="shared" si="2"/>
        <v>1283.660562</v>
      </c>
      <c r="O920" s="6">
        <f t="shared" si="3"/>
        <v>-4.599438</v>
      </c>
      <c r="P920" s="7">
        <f t="shared" si="4"/>
        <v>-0.003583064041</v>
      </c>
      <c r="Q920" s="6" t="s">
        <v>49</v>
      </c>
      <c r="R920" s="8">
        <f t="shared" si="5"/>
        <v>313.329438</v>
      </c>
    </row>
    <row r="921" ht="14.25" customHeight="1">
      <c r="A921" s="6" t="s">
        <v>2379</v>
      </c>
      <c r="B921" s="6" t="s">
        <v>1659</v>
      </c>
      <c r="C921" s="6" t="s">
        <v>2380</v>
      </c>
      <c r="D921" s="6" t="s">
        <v>83</v>
      </c>
      <c r="E921" s="6" t="s">
        <v>22</v>
      </c>
      <c r="F921" s="6" t="s">
        <v>23</v>
      </c>
      <c r="G921" s="6">
        <v>2.0</v>
      </c>
      <c r="H921" s="6">
        <v>366.0</v>
      </c>
      <c r="I921" s="6">
        <v>460.63</v>
      </c>
      <c r="J921" s="6">
        <v>6.49</v>
      </c>
      <c r="K921" s="6" t="s">
        <v>44</v>
      </c>
      <c r="L921" s="6" t="s">
        <v>25</v>
      </c>
      <c r="M921" s="6">
        <f t="shared" si="1"/>
        <v>732</v>
      </c>
      <c r="N921" s="6">
        <f t="shared" si="2"/>
        <v>861.470226</v>
      </c>
      <c r="O921" s="6">
        <f t="shared" si="3"/>
        <v>129.470226</v>
      </c>
      <c r="P921" s="7">
        <f t="shared" si="4"/>
        <v>0.1502898441</v>
      </c>
      <c r="Q921" s="6" t="s">
        <v>49</v>
      </c>
      <c r="R921" s="8">
        <f t="shared" si="5"/>
        <v>59.789774</v>
      </c>
    </row>
    <row r="922" ht="14.25" customHeight="1">
      <c r="A922" s="6" t="s">
        <v>2381</v>
      </c>
      <c r="B922" s="6" t="s">
        <v>110</v>
      </c>
      <c r="C922" s="6" t="s">
        <v>2382</v>
      </c>
      <c r="D922" s="6" t="s">
        <v>21</v>
      </c>
      <c r="E922" s="6" t="s">
        <v>104</v>
      </c>
      <c r="F922" s="6" t="s">
        <v>105</v>
      </c>
      <c r="G922" s="6">
        <v>5.0</v>
      </c>
      <c r="H922" s="6">
        <v>303.97</v>
      </c>
      <c r="I922" s="6">
        <v>457.63</v>
      </c>
      <c r="J922" s="6">
        <v>10.95</v>
      </c>
      <c r="K922" s="6" t="s">
        <v>24</v>
      </c>
      <c r="L922" s="6" t="s">
        <v>61</v>
      </c>
      <c r="M922" s="6">
        <f t="shared" si="1"/>
        <v>1519.85</v>
      </c>
      <c r="N922" s="6">
        <f t="shared" si="2"/>
        <v>2037.597575</v>
      </c>
      <c r="O922" s="6">
        <f t="shared" si="3"/>
        <v>517.747575</v>
      </c>
      <c r="P922" s="7">
        <f t="shared" si="4"/>
        <v>0.2540970707</v>
      </c>
      <c r="Q922" s="6" t="s">
        <v>76</v>
      </c>
      <c r="R922" s="8">
        <f t="shared" si="5"/>
        <v>250.552425</v>
      </c>
    </row>
    <row r="923" ht="14.25" customHeight="1">
      <c r="A923" s="6" t="s">
        <v>2383</v>
      </c>
      <c r="B923" s="6" t="s">
        <v>284</v>
      </c>
      <c r="C923" s="6" t="s">
        <v>2384</v>
      </c>
      <c r="D923" s="6" t="s">
        <v>83</v>
      </c>
      <c r="E923" s="6" t="s">
        <v>53</v>
      </c>
      <c r="F923" s="6" t="s">
        <v>54</v>
      </c>
      <c r="G923" s="6">
        <v>2.0</v>
      </c>
      <c r="H923" s="6">
        <v>106.23</v>
      </c>
      <c r="I923" s="6">
        <v>167.07</v>
      </c>
      <c r="J923" s="6">
        <v>22.06</v>
      </c>
      <c r="K923" s="6" t="s">
        <v>24</v>
      </c>
      <c r="L923" s="6" t="s">
        <v>61</v>
      </c>
      <c r="M923" s="6">
        <f t="shared" si="1"/>
        <v>212.46</v>
      </c>
      <c r="N923" s="6">
        <f t="shared" si="2"/>
        <v>260.428716</v>
      </c>
      <c r="O923" s="6">
        <f t="shared" si="3"/>
        <v>47.968716</v>
      </c>
      <c r="P923" s="7">
        <f t="shared" si="4"/>
        <v>0.184191347</v>
      </c>
      <c r="Q923" s="6" t="s">
        <v>76</v>
      </c>
      <c r="R923" s="8">
        <f t="shared" si="5"/>
        <v>73.711284</v>
      </c>
    </row>
    <row r="924" ht="14.25" customHeight="1">
      <c r="A924" s="6" t="s">
        <v>2385</v>
      </c>
      <c r="B924" s="6" t="s">
        <v>2386</v>
      </c>
      <c r="C924" s="6" t="s">
        <v>2387</v>
      </c>
      <c r="D924" s="6" t="s">
        <v>21</v>
      </c>
      <c r="E924" s="6" t="s">
        <v>31</v>
      </c>
      <c r="F924" s="6" t="s">
        <v>32</v>
      </c>
      <c r="G924" s="6">
        <v>6.0</v>
      </c>
      <c r="H924" s="6">
        <v>46.53</v>
      </c>
      <c r="I924" s="6">
        <v>86.03</v>
      </c>
      <c r="J924" s="6">
        <v>3.05</v>
      </c>
      <c r="K924" s="6" t="s">
        <v>44</v>
      </c>
      <c r="L924" s="6" t="s">
        <v>61</v>
      </c>
      <c r="M924" s="6">
        <f t="shared" si="1"/>
        <v>279.18</v>
      </c>
      <c r="N924" s="6">
        <f t="shared" si="2"/>
        <v>500.43651</v>
      </c>
      <c r="O924" s="6">
        <f t="shared" si="3"/>
        <v>221.25651</v>
      </c>
      <c r="P924" s="7">
        <f t="shared" si="4"/>
        <v>0.4421270343</v>
      </c>
      <c r="Q924" s="6" t="s">
        <v>40</v>
      </c>
      <c r="R924" s="8">
        <f t="shared" si="5"/>
        <v>15.74349</v>
      </c>
    </row>
    <row r="925" ht="14.25" customHeight="1">
      <c r="A925" s="6" t="s">
        <v>2388</v>
      </c>
      <c r="B925" s="6" t="s">
        <v>2389</v>
      </c>
      <c r="C925" s="6" t="s">
        <v>2390</v>
      </c>
      <c r="D925" s="6" t="s">
        <v>30</v>
      </c>
      <c r="E925" s="6" t="s">
        <v>59</v>
      </c>
      <c r="F925" s="6" t="s">
        <v>60</v>
      </c>
      <c r="G925" s="6">
        <v>6.0</v>
      </c>
      <c r="H925" s="6">
        <v>279.79</v>
      </c>
      <c r="I925" s="6">
        <v>458.84</v>
      </c>
      <c r="J925" s="6">
        <v>15.16</v>
      </c>
      <c r="K925" s="6" t="s">
        <v>24</v>
      </c>
      <c r="L925" s="6" t="s">
        <v>33</v>
      </c>
      <c r="M925" s="6">
        <f t="shared" si="1"/>
        <v>1678.74</v>
      </c>
      <c r="N925" s="6">
        <f t="shared" si="2"/>
        <v>2335.679136</v>
      </c>
      <c r="O925" s="6">
        <f t="shared" si="3"/>
        <v>656.939136</v>
      </c>
      <c r="P925" s="7">
        <f t="shared" si="4"/>
        <v>0.2812625784</v>
      </c>
      <c r="Q925" s="6" t="s">
        <v>40</v>
      </c>
      <c r="R925" s="8">
        <f t="shared" si="5"/>
        <v>417.360864</v>
      </c>
    </row>
    <row r="926" ht="14.25" customHeight="1">
      <c r="A926" s="6" t="s">
        <v>2391</v>
      </c>
      <c r="B926" s="6" t="s">
        <v>750</v>
      </c>
      <c r="C926" s="6" t="s">
        <v>2392</v>
      </c>
      <c r="D926" s="6" t="s">
        <v>48</v>
      </c>
      <c r="E926" s="6" t="s">
        <v>65</v>
      </c>
      <c r="F926" s="6" t="s">
        <v>75</v>
      </c>
      <c r="G926" s="6">
        <v>8.0</v>
      </c>
      <c r="H926" s="6">
        <v>203.07</v>
      </c>
      <c r="I926" s="6">
        <v>349.79</v>
      </c>
      <c r="J926" s="6">
        <v>1.03</v>
      </c>
      <c r="K926" s="6" t="s">
        <v>24</v>
      </c>
      <c r="L926" s="6" t="s">
        <v>61</v>
      </c>
      <c r="M926" s="6">
        <f t="shared" si="1"/>
        <v>1624.56</v>
      </c>
      <c r="N926" s="6">
        <f t="shared" si="2"/>
        <v>2769.497304</v>
      </c>
      <c r="O926" s="6">
        <f t="shared" si="3"/>
        <v>1144.937304</v>
      </c>
      <c r="P926" s="7">
        <f t="shared" si="4"/>
        <v>0.4134097919</v>
      </c>
      <c r="Q926" s="6" t="s">
        <v>34</v>
      </c>
      <c r="R926" s="8">
        <f t="shared" si="5"/>
        <v>28.822696</v>
      </c>
    </row>
    <row r="927" ht="14.25" customHeight="1">
      <c r="A927" s="6" t="s">
        <v>2393</v>
      </c>
      <c r="B927" s="6" t="s">
        <v>532</v>
      </c>
      <c r="C927" s="6" t="s">
        <v>2394</v>
      </c>
      <c r="D927" s="6" t="s">
        <v>83</v>
      </c>
      <c r="E927" s="6" t="s">
        <v>65</v>
      </c>
      <c r="F927" s="6" t="s">
        <v>66</v>
      </c>
      <c r="G927" s="6">
        <v>5.0</v>
      </c>
      <c r="H927" s="6">
        <v>172.47</v>
      </c>
      <c r="I927" s="6">
        <v>315.48</v>
      </c>
      <c r="J927" s="6">
        <v>10.32</v>
      </c>
      <c r="K927" s="6" t="s">
        <v>24</v>
      </c>
      <c r="L927" s="6" t="s">
        <v>33</v>
      </c>
      <c r="M927" s="6">
        <f t="shared" si="1"/>
        <v>862.35</v>
      </c>
      <c r="N927" s="6">
        <f t="shared" si="2"/>
        <v>1414.61232</v>
      </c>
      <c r="O927" s="6">
        <f t="shared" si="3"/>
        <v>552.26232</v>
      </c>
      <c r="P927" s="7">
        <f t="shared" si="4"/>
        <v>0.3903983531</v>
      </c>
      <c r="Q927" s="6" t="s">
        <v>76</v>
      </c>
      <c r="R927" s="8">
        <f t="shared" si="5"/>
        <v>162.78768</v>
      </c>
    </row>
    <row r="928" ht="14.25" customHeight="1">
      <c r="A928" s="6" t="s">
        <v>2395</v>
      </c>
      <c r="B928" s="6" t="s">
        <v>2396</v>
      </c>
      <c r="C928" s="6" t="s">
        <v>2397</v>
      </c>
      <c r="D928" s="6" t="s">
        <v>21</v>
      </c>
      <c r="E928" s="6" t="s">
        <v>38</v>
      </c>
      <c r="F928" s="6" t="s">
        <v>71</v>
      </c>
      <c r="G928" s="6">
        <v>2.0</v>
      </c>
      <c r="H928" s="6">
        <v>175.07</v>
      </c>
      <c r="I928" s="6">
        <v>228.23</v>
      </c>
      <c r="J928" s="6">
        <v>6.82</v>
      </c>
      <c r="K928" s="6" t="s">
        <v>24</v>
      </c>
      <c r="L928" s="6" t="s">
        <v>25</v>
      </c>
      <c r="M928" s="6">
        <f t="shared" si="1"/>
        <v>350.14</v>
      </c>
      <c r="N928" s="6">
        <f t="shared" si="2"/>
        <v>425.329428</v>
      </c>
      <c r="O928" s="6">
        <f t="shared" si="3"/>
        <v>75.189428</v>
      </c>
      <c r="P928" s="7">
        <f t="shared" si="4"/>
        <v>0.1767792752</v>
      </c>
      <c r="Q928" s="6" t="s">
        <v>76</v>
      </c>
      <c r="R928" s="8">
        <f t="shared" si="5"/>
        <v>31.130572</v>
      </c>
    </row>
    <row r="929" ht="14.25" customHeight="1">
      <c r="A929" s="6" t="s">
        <v>2398</v>
      </c>
      <c r="B929" s="6" t="s">
        <v>402</v>
      </c>
      <c r="C929" s="6" t="s">
        <v>2399</v>
      </c>
      <c r="D929" s="6" t="s">
        <v>70</v>
      </c>
      <c r="E929" s="6" t="s">
        <v>22</v>
      </c>
      <c r="F929" s="6" t="s">
        <v>23</v>
      </c>
      <c r="G929" s="6">
        <v>7.0</v>
      </c>
      <c r="H929" s="6">
        <v>178.63</v>
      </c>
      <c r="I929" s="6">
        <v>327.97</v>
      </c>
      <c r="J929" s="6">
        <v>0.24</v>
      </c>
      <c r="K929" s="6" t="s">
        <v>44</v>
      </c>
      <c r="L929" s="6" t="s">
        <v>33</v>
      </c>
      <c r="M929" s="6">
        <f t="shared" si="1"/>
        <v>1250.41</v>
      </c>
      <c r="N929" s="6">
        <f t="shared" si="2"/>
        <v>2290.280104</v>
      </c>
      <c r="O929" s="6">
        <f t="shared" si="3"/>
        <v>1039.870104</v>
      </c>
      <c r="P929" s="7">
        <f t="shared" si="4"/>
        <v>0.4540362125</v>
      </c>
      <c r="Q929" s="6" t="s">
        <v>76</v>
      </c>
      <c r="R929" s="8">
        <f t="shared" si="5"/>
        <v>5.509896</v>
      </c>
    </row>
    <row r="930" ht="14.25" customHeight="1">
      <c r="A930" s="6" t="s">
        <v>2400</v>
      </c>
      <c r="B930" s="6" t="s">
        <v>2401</v>
      </c>
      <c r="C930" s="6" t="s">
        <v>2402</v>
      </c>
      <c r="D930" s="6" t="s">
        <v>21</v>
      </c>
      <c r="E930" s="6" t="s">
        <v>104</v>
      </c>
      <c r="F930" s="6" t="s">
        <v>105</v>
      </c>
      <c r="G930" s="6">
        <v>6.0</v>
      </c>
      <c r="H930" s="6">
        <v>339.56</v>
      </c>
      <c r="I930" s="6">
        <v>498.06</v>
      </c>
      <c r="J930" s="6">
        <v>3.72</v>
      </c>
      <c r="K930" s="6" t="s">
        <v>24</v>
      </c>
      <c r="L930" s="6" t="s">
        <v>55</v>
      </c>
      <c r="M930" s="6">
        <f t="shared" si="1"/>
        <v>2037.36</v>
      </c>
      <c r="N930" s="6">
        <f t="shared" si="2"/>
        <v>2877.193008</v>
      </c>
      <c r="O930" s="6">
        <f t="shared" si="3"/>
        <v>839.833008</v>
      </c>
      <c r="P930" s="7">
        <f t="shared" si="4"/>
        <v>0.291893177</v>
      </c>
      <c r="Q930" s="6" t="s">
        <v>76</v>
      </c>
      <c r="R930" s="8">
        <f t="shared" si="5"/>
        <v>111.166992</v>
      </c>
    </row>
    <row r="931" ht="14.25" customHeight="1">
      <c r="A931" s="6" t="s">
        <v>2403</v>
      </c>
      <c r="B931" s="6" t="s">
        <v>2404</v>
      </c>
      <c r="C931" s="6" t="s">
        <v>2405</v>
      </c>
      <c r="D931" s="6" t="s">
        <v>70</v>
      </c>
      <c r="E931" s="6" t="s">
        <v>22</v>
      </c>
      <c r="F931" s="6" t="s">
        <v>23</v>
      </c>
      <c r="G931" s="6">
        <v>5.0</v>
      </c>
      <c r="H931" s="6">
        <v>265.88</v>
      </c>
      <c r="I931" s="6">
        <v>483.28</v>
      </c>
      <c r="J931" s="6">
        <v>21.79</v>
      </c>
      <c r="K931" s="6" t="s">
        <v>44</v>
      </c>
      <c r="L931" s="6" t="s">
        <v>33</v>
      </c>
      <c r="M931" s="6">
        <f t="shared" si="1"/>
        <v>1329.4</v>
      </c>
      <c r="N931" s="6">
        <f t="shared" si="2"/>
        <v>1889.86644</v>
      </c>
      <c r="O931" s="6">
        <f t="shared" si="3"/>
        <v>560.46644</v>
      </c>
      <c r="P931" s="7">
        <f t="shared" si="4"/>
        <v>0.2965640471</v>
      </c>
      <c r="Q931" s="6" t="s">
        <v>49</v>
      </c>
      <c r="R931" s="8">
        <f t="shared" si="5"/>
        <v>526.53356</v>
      </c>
    </row>
    <row r="932" ht="14.25" customHeight="1">
      <c r="A932" s="6" t="s">
        <v>2406</v>
      </c>
      <c r="B932" s="6" t="s">
        <v>1496</v>
      </c>
      <c r="C932" s="6" t="s">
        <v>2407</v>
      </c>
      <c r="D932" s="6" t="s">
        <v>70</v>
      </c>
      <c r="E932" s="6" t="s">
        <v>87</v>
      </c>
      <c r="F932" s="6" t="s">
        <v>88</v>
      </c>
      <c r="G932" s="6">
        <v>5.0</v>
      </c>
      <c r="H932" s="6">
        <v>128.57</v>
      </c>
      <c r="I932" s="6">
        <v>243.14</v>
      </c>
      <c r="J932" s="6">
        <v>3.95</v>
      </c>
      <c r="K932" s="6" t="s">
        <v>44</v>
      </c>
      <c r="L932" s="6" t="s">
        <v>61</v>
      </c>
      <c r="M932" s="6">
        <f t="shared" si="1"/>
        <v>642.85</v>
      </c>
      <c r="N932" s="6">
        <f t="shared" si="2"/>
        <v>1167.67985</v>
      </c>
      <c r="O932" s="6">
        <f t="shared" si="3"/>
        <v>524.82985</v>
      </c>
      <c r="P932" s="7">
        <f t="shared" si="4"/>
        <v>0.4494638235</v>
      </c>
      <c r="Q932" s="6" t="s">
        <v>40</v>
      </c>
      <c r="R932" s="8">
        <f t="shared" si="5"/>
        <v>48.02015</v>
      </c>
    </row>
    <row r="933" ht="14.25" customHeight="1">
      <c r="A933" s="6" t="s">
        <v>2408</v>
      </c>
      <c r="B933" s="6" t="s">
        <v>336</v>
      </c>
      <c r="C933" s="6" t="s">
        <v>2409</v>
      </c>
      <c r="D933" s="6" t="s">
        <v>70</v>
      </c>
      <c r="E933" s="6" t="s">
        <v>38</v>
      </c>
      <c r="F933" s="6" t="s">
        <v>39</v>
      </c>
      <c r="G933" s="6">
        <v>5.0</v>
      </c>
      <c r="H933" s="6">
        <v>90.53</v>
      </c>
      <c r="I933" s="6">
        <v>178.31</v>
      </c>
      <c r="J933" s="6">
        <v>20.05</v>
      </c>
      <c r="K933" s="6" t="s">
        <v>24</v>
      </c>
      <c r="L933" s="6" t="s">
        <v>61</v>
      </c>
      <c r="M933" s="6">
        <f t="shared" si="1"/>
        <v>452.65</v>
      </c>
      <c r="N933" s="6">
        <f t="shared" si="2"/>
        <v>712.794225</v>
      </c>
      <c r="O933" s="6">
        <f t="shared" si="3"/>
        <v>260.144225</v>
      </c>
      <c r="P933" s="7">
        <f t="shared" si="4"/>
        <v>0.3649639908</v>
      </c>
      <c r="Q933" s="6" t="s">
        <v>26</v>
      </c>
      <c r="R933" s="8">
        <f t="shared" si="5"/>
        <v>178.755775</v>
      </c>
    </row>
    <row r="934" ht="14.25" customHeight="1">
      <c r="A934" s="6" t="s">
        <v>2410</v>
      </c>
      <c r="B934" s="6" t="s">
        <v>1479</v>
      </c>
      <c r="C934" s="6" t="s">
        <v>2411</v>
      </c>
      <c r="D934" s="6" t="s">
        <v>64</v>
      </c>
      <c r="E934" s="6" t="s">
        <v>38</v>
      </c>
      <c r="F934" s="6" t="s">
        <v>71</v>
      </c>
      <c r="G934" s="6">
        <v>7.0</v>
      </c>
      <c r="H934" s="6">
        <v>256.01</v>
      </c>
      <c r="I934" s="6">
        <v>369.31</v>
      </c>
      <c r="J934" s="6">
        <v>21.42</v>
      </c>
      <c r="K934" s="6" t="s">
        <v>44</v>
      </c>
      <c r="L934" s="6" t="s">
        <v>61</v>
      </c>
      <c r="M934" s="6">
        <f t="shared" si="1"/>
        <v>1792.07</v>
      </c>
      <c r="N934" s="6">
        <f t="shared" si="2"/>
        <v>2031.426586</v>
      </c>
      <c r="O934" s="6">
        <f t="shared" si="3"/>
        <v>239.356586</v>
      </c>
      <c r="P934" s="7">
        <f t="shared" si="4"/>
        <v>0.1178268453</v>
      </c>
      <c r="Q934" s="6" t="s">
        <v>49</v>
      </c>
      <c r="R934" s="8">
        <f t="shared" si="5"/>
        <v>553.743414</v>
      </c>
    </row>
    <row r="935" ht="14.25" customHeight="1">
      <c r="A935" s="6" t="s">
        <v>2412</v>
      </c>
      <c r="B935" s="6" t="s">
        <v>1314</v>
      </c>
      <c r="C935" s="6" t="s">
        <v>2413</v>
      </c>
      <c r="D935" s="6" t="s">
        <v>83</v>
      </c>
      <c r="E935" s="6" t="s">
        <v>104</v>
      </c>
      <c r="F935" s="6" t="s">
        <v>105</v>
      </c>
      <c r="G935" s="6">
        <v>1.0</v>
      </c>
      <c r="H935" s="6">
        <v>496.05</v>
      </c>
      <c r="I935" s="6">
        <v>588.42</v>
      </c>
      <c r="J935" s="6">
        <v>19.98</v>
      </c>
      <c r="K935" s="6" t="s">
        <v>24</v>
      </c>
      <c r="L935" s="6" t="s">
        <v>61</v>
      </c>
      <c r="M935" s="6">
        <f t="shared" si="1"/>
        <v>496.05</v>
      </c>
      <c r="N935" s="6">
        <f t="shared" si="2"/>
        <v>470.853684</v>
      </c>
      <c r="O935" s="6">
        <f t="shared" si="3"/>
        <v>-25.196316</v>
      </c>
      <c r="P935" s="7">
        <f t="shared" si="4"/>
        <v>-0.05351198654</v>
      </c>
      <c r="Q935" s="6" t="s">
        <v>26</v>
      </c>
      <c r="R935" s="8">
        <f t="shared" si="5"/>
        <v>117.566316</v>
      </c>
    </row>
    <row r="936" ht="14.25" customHeight="1">
      <c r="A936" s="6" t="s">
        <v>2414</v>
      </c>
      <c r="B936" s="6" t="s">
        <v>1966</v>
      </c>
      <c r="C936" s="6" t="s">
        <v>2413</v>
      </c>
      <c r="D936" s="6" t="s">
        <v>30</v>
      </c>
      <c r="E936" s="6" t="s">
        <v>87</v>
      </c>
      <c r="F936" s="6" t="s">
        <v>88</v>
      </c>
      <c r="G936" s="6">
        <v>2.0</v>
      </c>
      <c r="H936" s="6">
        <v>63.61</v>
      </c>
      <c r="I936" s="6">
        <v>114.91</v>
      </c>
      <c r="J936" s="6">
        <v>22.0</v>
      </c>
      <c r="K936" s="6" t="s">
        <v>44</v>
      </c>
      <c r="L936" s="6" t="s">
        <v>33</v>
      </c>
      <c r="M936" s="6">
        <f t="shared" si="1"/>
        <v>127.22</v>
      </c>
      <c r="N936" s="6">
        <f t="shared" si="2"/>
        <v>179.2596</v>
      </c>
      <c r="O936" s="6">
        <f t="shared" si="3"/>
        <v>52.0396</v>
      </c>
      <c r="P936" s="7">
        <f t="shared" si="4"/>
        <v>0.2903030019</v>
      </c>
      <c r="Q936" s="6" t="s">
        <v>49</v>
      </c>
      <c r="R936" s="8">
        <f t="shared" si="5"/>
        <v>50.5604</v>
      </c>
    </row>
    <row r="937" ht="14.25" customHeight="1">
      <c r="A937" s="6" t="s">
        <v>2415</v>
      </c>
      <c r="B937" s="6" t="s">
        <v>1119</v>
      </c>
      <c r="C937" s="6" t="s">
        <v>2416</v>
      </c>
      <c r="D937" s="6" t="s">
        <v>83</v>
      </c>
      <c r="E937" s="6" t="s">
        <v>38</v>
      </c>
      <c r="F937" s="6" t="s">
        <v>39</v>
      </c>
      <c r="G937" s="6">
        <v>1.0</v>
      </c>
      <c r="H937" s="6">
        <v>89.01</v>
      </c>
      <c r="I937" s="6">
        <v>130.36</v>
      </c>
      <c r="J937" s="6">
        <v>0.18</v>
      </c>
      <c r="K937" s="6" t="s">
        <v>24</v>
      </c>
      <c r="L937" s="6" t="s">
        <v>61</v>
      </c>
      <c r="M937" s="6">
        <f t="shared" si="1"/>
        <v>89.01</v>
      </c>
      <c r="N937" s="6">
        <f t="shared" si="2"/>
        <v>130.125352</v>
      </c>
      <c r="O937" s="6">
        <f t="shared" si="3"/>
        <v>41.115352</v>
      </c>
      <c r="P937" s="7">
        <f t="shared" si="4"/>
        <v>0.3159672682</v>
      </c>
      <c r="Q937" s="6" t="s">
        <v>40</v>
      </c>
      <c r="R937" s="8">
        <f t="shared" si="5"/>
        <v>0.234648</v>
      </c>
    </row>
    <row r="938" ht="14.25" customHeight="1">
      <c r="A938" s="6" t="s">
        <v>2417</v>
      </c>
      <c r="B938" s="6" t="s">
        <v>113</v>
      </c>
      <c r="C938" s="6" t="s">
        <v>2416</v>
      </c>
      <c r="D938" s="6" t="s">
        <v>70</v>
      </c>
      <c r="E938" s="6" t="s">
        <v>59</v>
      </c>
      <c r="F938" s="6" t="s">
        <v>60</v>
      </c>
      <c r="G938" s="6">
        <v>7.0</v>
      </c>
      <c r="H938" s="6">
        <v>341.03</v>
      </c>
      <c r="I938" s="6">
        <v>571.54</v>
      </c>
      <c r="J938" s="6">
        <v>4.76</v>
      </c>
      <c r="K938" s="6" t="s">
        <v>24</v>
      </c>
      <c r="L938" s="6" t="s">
        <v>25</v>
      </c>
      <c r="M938" s="6">
        <f t="shared" si="1"/>
        <v>2387.21</v>
      </c>
      <c r="N938" s="6">
        <f t="shared" si="2"/>
        <v>3810.342872</v>
      </c>
      <c r="O938" s="6">
        <f t="shared" si="3"/>
        <v>1423.132872</v>
      </c>
      <c r="P938" s="7">
        <f t="shared" si="4"/>
        <v>0.3734920766</v>
      </c>
      <c r="Q938" s="6" t="s">
        <v>34</v>
      </c>
      <c r="R938" s="8">
        <f t="shared" si="5"/>
        <v>190.437128</v>
      </c>
    </row>
    <row r="939" ht="14.25" customHeight="1">
      <c r="A939" s="6" t="s">
        <v>2418</v>
      </c>
      <c r="B939" s="6" t="s">
        <v>871</v>
      </c>
      <c r="C939" s="6" t="s">
        <v>2419</v>
      </c>
      <c r="D939" s="6" t="s">
        <v>64</v>
      </c>
      <c r="E939" s="6" t="s">
        <v>59</v>
      </c>
      <c r="F939" s="6" t="s">
        <v>60</v>
      </c>
      <c r="G939" s="6">
        <v>5.0</v>
      </c>
      <c r="H939" s="6">
        <v>418.84</v>
      </c>
      <c r="I939" s="6">
        <v>541.6</v>
      </c>
      <c r="J939" s="6">
        <v>23.47</v>
      </c>
      <c r="K939" s="6" t="s">
        <v>24</v>
      </c>
      <c r="L939" s="6" t="s">
        <v>33</v>
      </c>
      <c r="M939" s="6">
        <f t="shared" si="1"/>
        <v>2094.2</v>
      </c>
      <c r="N939" s="6">
        <f t="shared" si="2"/>
        <v>2072.4324</v>
      </c>
      <c r="O939" s="6">
        <f t="shared" si="3"/>
        <v>-21.7676</v>
      </c>
      <c r="P939" s="7">
        <f t="shared" si="4"/>
        <v>-0.01050340653</v>
      </c>
      <c r="Q939" s="6" t="s">
        <v>76</v>
      </c>
      <c r="R939" s="8">
        <f t="shared" si="5"/>
        <v>635.5676</v>
      </c>
    </row>
    <row r="940" ht="14.25" customHeight="1">
      <c r="A940" s="6" t="s">
        <v>2420</v>
      </c>
      <c r="B940" s="6" t="s">
        <v>789</v>
      </c>
      <c r="C940" s="6" t="s">
        <v>2421</v>
      </c>
      <c r="D940" s="6" t="s">
        <v>70</v>
      </c>
      <c r="E940" s="6" t="s">
        <v>38</v>
      </c>
      <c r="F940" s="6" t="s">
        <v>39</v>
      </c>
      <c r="G940" s="6">
        <v>1.0</v>
      </c>
      <c r="H940" s="6">
        <v>361.87</v>
      </c>
      <c r="I940" s="6">
        <v>589.91</v>
      </c>
      <c r="J940" s="6">
        <v>17.59</v>
      </c>
      <c r="K940" s="6" t="s">
        <v>24</v>
      </c>
      <c r="L940" s="6" t="s">
        <v>55</v>
      </c>
      <c r="M940" s="6">
        <f t="shared" si="1"/>
        <v>361.87</v>
      </c>
      <c r="N940" s="6">
        <f t="shared" si="2"/>
        <v>486.144831</v>
      </c>
      <c r="O940" s="6">
        <f t="shared" si="3"/>
        <v>124.274831</v>
      </c>
      <c r="P940" s="7">
        <f t="shared" si="4"/>
        <v>0.2556333485</v>
      </c>
      <c r="Q940" s="6" t="s">
        <v>26</v>
      </c>
      <c r="R940" s="8">
        <f t="shared" si="5"/>
        <v>103.765169</v>
      </c>
    </row>
    <row r="941" ht="14.25" customHeight="1">
      <c r="A941" s="6" t="s">
        <v>2422</v>
      </c>
      <c r="B941" s="6" t="s">
        <v>594</v>
      </c>
      <c r="C941" s="6" t="s">
        <v>2423</v>
      </c>
      <c r="D941" s="6" t="s">
        <v>64</v>
      </c>
      <c r="E941" s="6" t="s">
        <v>104</v>
      </c>
      <c r="F941" s="6" t="s">
        <v>105</v>
      </c>
      <c r="G941" s="6">
        <v>1.0</v>
      </c>
      <c r="H941" s="6">
        <v>421.4</v>
      </c>
      <c r="I941" s="6">
        <v>546.42</v>
      </c>
      <c r="J941" s="6">
        <v>16.23</v>
      </c>
      <c r="K941" s="6" t="s">
        <v>24</v>
      </c>
      <c r="L941" s="6" t="s">
        <v>25</v>
      </c>
      <c r="M941" s="6">
        <f t="shared" si="1"/>
        <v>421.4</v>
      </c>
      <c r="N941" s="6">
        <f t="shared" si="2"/>
        <v>457.736034</v>
      </c>
      <c r="O941" s="6">
        <f t="shared" si="3"/>
        <v>36.336034</v>
      </c>
      <c r="P941" s="7">
        <f t="shared" si="4"/>
        <v>0.07938207023</v>
      </c>
      <c r="Q941" s="6" t="s">
        <v>26</v>
      </c>
      <c r="R941" s="8">
        <f t="shared" si="5"/>
        <v>88.683966</v>
      </c>
    </row>
    <row r="942" ht="14.25" customHeight="1">
      <c r="A942" s="6" t="s">
        <v>2424</v>
      </c>
      <c r="B942" s="6" t="s">
        <v>2425</v>
      </c>
      <c r="C942" s="6" t="s">
        <v>2426</v>
      </c>
      <c r="D942" s="6" t="s">
        <v>83</v>
      </c>
      <c r="E942" s="6" t="s">
        <v>53</v>
      </c>
      <c r="F942" s="6" t="s">
        <v>54</v>
      </c>
      <c r="G942" s="6">
        <v>4.0</v>
      </c>
      <c r="H942" s="6">
        <v>195.82</v>
      </c>
      <c r="I942" s="6">
        <v>381.04</v>
      </c>
      <c r="J942" s="6">
        <v>2.05</v>
      </c>
      <c r="K942" s="6" t="s">
        <v>24</v>
      </c>
      <c r="L942" s="6" t="s">
        <v>33</v>
      </c>
      <c r="M942" s="6">
        <f t="shared" si="1"/>
        <v>783.28</v>
      </c>
      <c r="N942" s="6">
        <f t="shared" si="2"/>
        <v>1492.91472</v>
      </c>
      <c r="O942" s="6">
        <f t="shared" si="3"/>
        <v>709.63472</v>
      </c>
      <c r="P942" s="7">
        <f t="shared" si="4"/>
        <v>0.475335068</v>
      </c>
      <c r="Q942" s="6" t="s">
        <v>40</v>
      </c>
      <c r="R942" s="8">
        <f t="shared" si="5"/>
        <v>31.24528</v>
      </c>
    </row>
    <row r="943" ht="14.25" customHeight="1">
      <c r="A943" s="6" t="s">
        <v>2427</v>
      </c>
      <c r="B943" s="6" t="s">
        <v>1393</v>
      </c>
      <c r="C943" s="6" t="s">
        <v>2428</v>
      </c>
      <c r="D943" s="6" t="s">
        <v>70</v>
      </c>
      <c r="E943" s="6" t="s">
        <v>38</v>
      </c>
      <c r="F943" s="6" t="s">
        <v>39</v>
      </c>
      <c r="G943" s="6">
        <v>4.0</v>
      </c>
      <c r="H943" s="6">
        <v>160.11</v>
      </c>
      <c r="I943" s="6">
        <v>309.87</v>
      </c>
      <c r="J943" s="6">
        <v>15.87</v>
      </c>
      <c r="K943" s="6" t="s">
        <v>44</v>
      </c>
      <c r="L943" s="6" t="s">
        <v>61</v>
      </c>
      <c r="M943" s="6">
        <f t="shared" si="1"/>
        <v>640.44</v>
      </c>
      <c r="N943" s="6">
        <f t="shared" si="2"/>
        <v>1042.774524</v>
      </c>
      <c r="O943" s="6">
        <f t="shared" si="3"/>
        <v>402.334524</v>
      </c>
      <c r="P943" s="7">
        <f t="shared" si="4"/>
        <v>0.3858307954</v>
      </c>
      <c r="Q943" s="6" t="s">
        <v>40</v>
      </c>
      <c r="R943" s="8">
        <f t="shared" si="5"/>
        <v>196.705476</v>
      </c>
    </row>
    <row r="944" ht="14.25" customHeight="1">
      <c r="A944" s="6" t="s">
        <v>2429</v>
      </c>
      <c r="B944" s="6" t="s">
        <v>874</v>
      </c>
      <c r="C944" s="6" t="s">
        <v>2430</v>
      </c>
      <c r="D944" s="6" t="s">
        <v>70</v>
      </c>
      <c r="E944" s="6" t="s">
        <v>38</v>
      </c>
      <c r="F944" s="6" t="s">
        <v>71</v>
      </c>
      <c r="G944" s="6">
        <v>3.0</v>
      </c>
      <c r="H944" s="6">
        <v>150.39</v>
      </c>
      <c r="I944" s="6">
        <v>215.0</v>
      </c>
      <c r="J944" s="6">
        <v>5.7</v>
      </c>
      <c r="K944" s="6" t="s">
        <v>24</v>
      </c>
      <c r="L944" s="6" t="s">
        <v>33</v>
      </c>
      <c r="M944" s="6">
        <f t="shared" si="1"/>
        <v>451.17</v>
      </c>
      <c r="N944" s="6">
        <f t="shared" si="2"/>
        <v>608.235</v>
      </c>
      <c r="O944" s="6">
        <f t="shared" si="3"/>
        <v>157.065</v>
      </c>
      <c r="P944" s="7">
        <f t="shared" si="4"/>
        <v>0.2582307825</v>
      </c>
      <c r="Q944" s="6" t="s">
        <v>49</v>
      </c>
      <c r="R944" s="8">
        <f t="shared" si="5"/>
        <v>36.765</v>
      </c>
    </row>
    <row r="945" ht="14.25" customHeight="1">
      <c r="A945" s="6" t="s">
        <v>2431</v>
      </c>
      <c r="B945" s="6" t="s">
        <v>1975</v>
      </c>
      <c r="C945" s="6" t="s">
        <v>2432</v>
      </c>
      <c r="D945" s="6" t="s">
        <v>21</v>
      </c>
      <c r="E945" s="6" t="s">
        <v>38</v>
      </c>
      <c r="F945" s="6" t="s">
        <v>71</v>
      </c>
      <c r="G945" s="6">
        <v>8.0</v>
      </c>
      <c r="H945" s="6">
        <v>104.46</v>
      </c>
      <c r="I945" s="6">
        <v>183.3</v>
      </c>
      <c r="J945" s="6">
        <v>6.57</v>
      </c>
      <c r="K945" s="6" t="s">
        <v>24</v>
      </c>
      <c r="L945" s="6" t="s">
        <v>61</v>
      </c>
      <c r="M945" s="6">
        <f t="shared" si="1"/>
        <v>835.68</v>
      </c>
      <c r="N945" s="6">
        <f t="shared" si="2"/>
        <v>1370.05752</v>
      </c>
      <c r="O945" s="6">
        <f t="shared" si="3"/>
        <v>534.37752</v>
      </c>
      <c r="P945" s="7">
        <f t="shared" si="4"/>
        <v>0.3900402079</v>
      </c>
      <c r="Q945" s="6" t="s">
        <v>40</v>
      </c>
      <c r="R945" s="8">
        <f t="shared" si="5"/>
        <v>96.34248</v>
      </c>
    </row>
    <row r="946" ht="14.25" customHeight="1">
      <c r="A946" s="6" t="s">
        <v>2433</v>
      </c>
      <c r="B946" s="6" t="s">
        <v>2434</v>
      </c>
      <c r="C946" s="6" t="s">
        <v>2435</v>
      </c>
      <c r="D946" s="6" t="s">
        <v>70</v>
      </c>
      <c r="E946" s="6" t="s">
        <v>53</v>
      </c>
      <c r="F946" s="6" t="s">
        <v>54</v>
      </c>
      <c r="G946" s="6">
        <v>8.0</v>
      </c>
      <c r="H946" s="6">
        <v>294.9</v>
      </c>
      <c r="I946" s="6">
        <v>408.14</v>
      </c>
      <c r="J946" s="6">
        <v>14.1</v>
      </c>
      <c r="K946" s="6" t="s">
        <v>24</v>
      </c>
      <c r="L946" s="6" t="s">
        <v>55</v>
      </c>
      <c r="M946" s="6">
        <f t="shared" si="1"/>
        <v>2359.2</v>
      </c>
      <c r="N946" s="6">
        <f t="shared" si="2"/>
        <v>2804.73808</v>
      </c>
      <c r="O946" s="6">
        <f t="shared" si="3"/>
        <v>445.53808</v>
      </c>
      <c r="P946" s="7">
        <f t="shared" si="4"/>
        <v>0.1588519381</v>
      </c>
      <c r="Q946" s="6" t="s">
        <v>34</v>
      </c>
      <c r="R946" s="8">
        <f t="shared" si="5"/>
        <v>460.38192</v>
      </c>
    </row>
    <row r="947" ht="14.25" customHeight="1">
      <c r="A947" s="6" t="s">
        <v>2436</v>
      </c>
      <c r="B947" s="6" t="s">
        <v>153</v>
      </c>
      <c r="C947" s="6" t="s">
        <v>2437</v>
      </c>
      <c r="D947" s="6" t="s">
        <v>21</v>
      </c>
      <c r="E947" s="6" t="s">
        <v>22</v>
      </c>
      <c r="F947" s="6" t="s">
        <v>23</v>
      </c>
      <c r="G947" s="6">
        <v>4.0</v>
      </c>
      <c r="H947" s="6">
        <v>321.44</v>
      </c>
      <c r="I947" s="6">
        <v>528.55</v>
      </c>
      <c r="J947" s="6">
        <v>17.63</v>
      </c>
      <c r="K947" s="6" t="s">
        <v>24</v>
      </c>
      <c r="L947" s="6" t="s">
        <v>33</v>
      </c>
      <c r="M947" s="6">
        <f t="shared" si="1"/>
        <v>1285.76</v>
      </c>
      <c r="N947" s="6">
        <f t="shared" si="2"/>
        <v>1741.46654</v>
      </c>
      <c r="O947" s="6">
        <f t="shared" si="3"/>
        <v>455.70654</v>
      </c>
      <c r="P947" s="7">
        <f t="shared" si="4"/>
        <v>0.2616797564</v>
      </c>
      <c r="Q947" s="6" t="s">
        <v>26</v>
      </c>
      <c r="R947" s="8">
        <f t="shared" si="5"/>
        <v>372.73346</v>
      </c>
    </row>
    <row r="948" ht="14.25" customHeight="1">
      <c r="A948" s="6" t="s">
        <v>2438</v>
      </c>
      <c r="B948" s="6" t="s">
        <v>2439</v>
      </c>
      <c r="C948" s="6" t="s">
        <v>2440</v>
      </c>
      <c r="D948" s="6" t="s">
        <v>48</v>
      </c>
      <c r="E948" s="6" t="s">
        <v>104</v>
      </c>
      <c r="F948" s="6" t="s">
        <v>105</v>
      </c>
      <c r="G948" s="6">
        <v>2.0</v>
      </c>
      <c r="H948" s="6">
        <v>163.78</v>
      </c>
      <c r="I948" s="6">
        <v>241.78</v>
      </c>
      <c r="J948" s="6">
        <v>3.39</v>
      </c>
      <c r="K948" s="6" t="s">
        <v>44</v>
      </c>
      <c r="L948" s="6" t="s">
        <v>33</v>
      </c>
      <c r="M948" s="6">
        <f t="shared" si="1"/>
        <v>327.56</v>
      </c>
      <c r="N948" s="6">
        <f t="shared" si="2"/>
        <v>467.167316</v>
      </c>
      <c r="O948" s="6">
        <f t="shared" si="3"/>
        <v>139.607316</v>
      </c>
      <c r="P948" s="7">
        <f t="shared" si="4"/>
        <v>0.298837935</v>
      </c>
      <c r="Q948" s="6" t="s">
        <v>76</v>
      </c>
      <c r="R948" s="8">
        <f t="shared" si="5"/>
        <v>16.392684</v>
      </c>
    </row>
    <row r="949" ht="14.25" customHeight="1">
      <c r="A949" s="6" t="s">
        <v>2441</v>
      </c>
      <c r="B949" s="6" t="s">
        <v>2442</v>
      </c>
      <c r="C949" s="6" t="s">
        <v>2443</v>
      </c>
      <c r="D949" s="6" t="s">
        <v>30</v>
      </c>
      <c r="E949" s="6" t="s">
        <v>87</v>
      </c>
      <c r="F949" s="6" t="s">
        <v>88</v>
      </c>
      <c r="G949" s="6">
        <v>1.0</v>
      </c>
      <c r="H949" s="6">
        <v>295.45</v>
      </c>
      <c r="I949" s="6">
        <v>409.62</v>
      </c>
      <c r="J949" s="6">
        <v>1.35</v>
      </c>
      <c r="K949" s="6" t="s">
        <v>24</v>
      </c>
      <c r="L949" s="6" t="s">
        <v>33</v>
      </c>
      <c r="M949" s="6">
        <f t="shared" si="1"/>
        <v>295.45</v>
      </c>
      <c r="N949" s="6">
        <f t="shared" si="2"/>
        <v>404.09013</v>
      </c>
      <c r="O949" s="6">
        <f t="shared" si="3"/>
        <v>108.64013</v>
      </c>
      <c r="P949" s="7">
        <f t="shared" si="4"/>
        <v>0.2688512338</v>
      </c>
      <c r="Q949" s="6" t="s">
        <v>40</v>
      </c>
      <c r="R949" s="8">
        <f t="shared" si="5"/>
        <v>5.52987</v>
      </c>
    </row>
    <row r="950" ht="14.25" customHeight="1">
      <c r="A950" s="6" t="s">
        <v>2444</v>
      </c>
      <c r="B950" s="6" t="s">
        <v>170</v>
      </c>
      <c r="C950" s="6" t="s">
        <v>2445</v>
      </c>
      <c r="D950" s="6" t="s">
        <v>70</v>
      </c>
      <c r="E950" s="6" t="s">
        <v>38</v>
      </c>
      <c r="F950" s="6" t="s">
        <v>39</v>
      </c>
      <c r="G950" s="6">
        <v>2.0</v>
      </c>
      <c r="H950" s="6">
        <v>131.78</v>
      </c>
      <c r="I950" s="6">
        <v>216.04</v>
      </c>
      <c r="J950" s="6">
        <v>17.61</v>
      </c>
      <c r="K950" s="6" t="s">
        <v>44</v>
      </c>
      <c r="L950" s="6" t="s">
        <v>55</v>
      </c>
      <c r="M950" s="6">
        <f t="shared" si="1"/>
        <v>263.56</v>
      </c>
      <c r="N950" s="6">
        <f t="shared" si="2"/>
        <v>355.990712</v>
      </c>
      <c r="O950" s="6">
        <f t="shared" si="3"/>
        <v>92.430712</v>
      </c>
      <c r="P950" s="7">
        <f t="shared" si="4"/>
        <v>0.2596436055</v>
      </c>
      <c r="Q950" s="6" t="s">
        <v>26</v>
      </c>
      <c r="R950" s="8">
        <f t="shared" si="5"/>
        <v>76.089288</v>
      </c>
    </row>
    <row r="951" ht="14.25" customHeight="1">
      <c r="A951" s="6" t="s">
        <v>2446</v>
      </c>
      <c r="B951" s="6" t="s">
        <v>1398</v>
      </c>
      <c r="C951" s="6" t="s">
        <v>2447</v>
      </c>
      <c r="D951" s="6" t="s">
        <v>64</v>
      </c>
      <c r="E951" s="6" t="s">
        <v>104</v>
      </c>
      <c r="F951" s="6" t="s">
        <v>105</v>
      </c>
      <c r="G951" s="6">
        <v>8.0</v>
      </c>
      <c r="H951" s="6">
        <v>42.39</v>
      </c>
      <c r="I951" s="6">
        <v>80.82</v>
      </c>
      <c r="J951" s="6">
        <v>17.41</v>
      </c>
      <c r="K951" s="6" t="s">
        <v>24</v>
      </c>
      <c r="L951" s="6" t="s">
        <v>61</v>
      </c>
      <c r="M951" s="6">
        <f t="shared" si="1"/>
        <v>339.12</v>
      </c>
      <c r="N951" s="6">
        <f t="shared" si="2"/>
        <v>533.993904</v>
      </c>
      <c r="O951" s="6">
        <f t="shared" si="3"/>
        <v>194.873904</v>
      </c>
      <c r="P951" s="7">
        <f t="shared" si="4"/>
        <v>0.3649365705</v>
      </c>
      <c r="Q951" s="6" t="s">
        <v>76</v>
      </c>
      <c r="R951" s="8">
        <f t="shared" si="5"/>
        <v>112.566096</v>
      </c>
    </row>
    <row r="952" ht="14.25" customHeight="1">
      <c r="A952" s="6" t="s">
        <v>2448</v>
      </c>
      <c r="B952" s="6" t="s">
        <v>2449</v>
      </c>
      <c r="C952" s="6" t="s">
        <v>2450</v>
      </c>
      <c r="D952" s="6" t="s">
        <v>83</v>
      </c>
      <c r="E952" s="6" t="s">
        <v>22</v>
      </c>
      <c r="F952" s="6" t="s">
        <v>23</v>
      </c>
      <c r="G952" s="6">
        <v>2.0</v>
      </c>
      <c r="H952" s="6">
        <v>277.67</v>
      </c>
      <c r="I952" s="6">
        <v>351.42</v>
      </c>
      <c r="J952" s="6">
        <v>23.74</v>
      </c>
      <c r="K952" s="6" t="s">
        <v>24</v>
      </c>
      <c r="L952" s="6" t="s">
        <v>25</v>
      </c>
      <c r="M952" s="6">
        <f t="shared" si="1"/>
        <v>555.34</v>
      </c>
      <c r="N952" s="6">
        <f t="shared" si="2"/>
        <v>535.985784</v>
      </c>
      <c r="O952" s="6">
        <f t="shared" si="3"/>
        <v>-19.354216</v>
      </c>
      <c r="P952" s="7">
        <f t="shared" si="4"/>
        <v>-0.03610956965</v>
      </c>
      <c r="Q952" s="6" t="s">
        <v>76</v>
      </c>
      <c r="R952" s="8">
        <f t="shared" si="5"/>
        <v>166.854216</v>
      </c>
    </row>
    <row r="953" ht="14.25" customHeight="1">
      <c r="A953" s="6" t="s">
        <v>2451</v>
      </c>
      <c r="B953" s="6" t="s">
        <v>231</v>
      </c>
      <c r="C953" s="6" t="s">
        <v>2452</v>
      </c>
      <c r="D953" s="6" t="s">
        <v>48</v>
      </c>
      <c r="E953" s="6" t="s">
        <v>104</v>
      </c>
      <c r="F953" s="6" t="s">
        <v>105</v>
      </c>
      <c r="G953" s="6">
        <v>4.0</v>
      </c>
      <c r="H953" s="6">
        <v>398.81</v>
      </c>
      <c r="I953" s="6">
        <v>512.42</v>
      </c>
      <c r="J953" s="6">
        <v>13.97</v>
      </c>
      <c r="K953" s="6" t="s">
        <v>44</v>
      </c>
      <c r="L953" s="6" t="s">
        <v>61</v>
      </c>
      <c r="M953" s="6">
        <f t="shared" si="1"/>
        <v>1595.24</v>
      </c>
      <c r="N953" s="6">
        <f t="shared" si="2"/>
        <v>1763.339704</v>
      </c>
      <c r="O953" s="6">
        <f t="shared" si="3"/>
        <v>168.099704</v>
      </c>
      <c r="P953" s="7">
        <f t="shared" si="4"/>
        <v>0.09533030058</v>
      </c>
      <c r="Q953" s="6" t="s">
        <v>34</v>
      </c>
      <c r="R953" s="8">
        <f t="shared" si="5"/>
        <v>286.340296</v>
      </c>
    </row>
    <row r="954" ht="14.25" customHeight="1">
      <c r="A954" s="6" t="s">
        <v>2453</v>
      </c>
      <c r="B954" s="6" t="s">
        <v>2454</v>
      </c>
      <c r="C954" s="6" t="s">
        <v>2455</v>
      </c>
      <c r="D954" s="6" t="s">
        <v>30</v>
      </c>
      <c r="E954" s="6" t="s">
        <v>65</v>
      </c>
      <c r="F954" s="6" t="s">
        <v>66</v>
      </c>
      <c r="G954" s="6">
        <v>3.0</v>
      </c>
      <c r="H954" s="6">
        <v>338.54</v>
      </c>
      <c r="I954" s="6">
        <v>428.46</v>
      </c>
      <c r="J954" s="6">
        <v>18.47</v>
      </c>
      <c r="K954" s="6" t="s">
        <v>24</v>
      </c>
      <c r="L954" s="6" t="s">
        <v>55</v>
      </c>
      <c r="M954" s="6">
        <f t="shared" si="1"/>
        <v>1015.62</v>
      </c>
      <c r="N954" s="6">
        <f t="shared" si="2"/>
        <v>1047.970314</v>
      </c>
      <c r="O954" s="6">
        <f t="shared" si="3"/>
        <v>32.350314</v>
      </c>
      <c r="P954" s="7">
        <f t="shared" si="4"/>
        <v>0.03086949465</v>
      </c>
      <c r="Q954" s="6" t="s">
        <v>49</v>
      </c>
      <c r="R954" s="8">
        <f t="shared" si="5"/>
        <v>237.409686</v>
      </c>
    </row>
    <row r="955" ht="14.25" customHeight="1">
      <c r="A955" s="6" t="s">
        <v>2456</v>
      </c>
      <c r="B955" s="6" t="s">
        <v>2457</v>
      </c>
      <c r="C955" s="6" t="s">
        <v>2458</v>
      </c>
      <c r="D955" s="6" t="s">
        <v>21</v>
      </c>
      <c r="E955" s="6" t="s">
        <v>65</v>
      </c>
      <c r="F955" s="6" t="s">
        <v>66</v>
      </c>
      <c r="G955" s="6">
        <v>4.0</v>
      </c>
      <c r="H955" s="6">
        <v>236.24</v>
      </c>
      <c r="I955" s="6">
        <v>372.05</v>
      </c>
      <c r="J955" s="6">
        <v>15.05</v>
      </c>
      <c r="K955" s="6" t="s">
        <v>44</v>
      </c>
      <c r="L955" s="6" t="s">
        <v>55</v>
      </c>
      <c r="M955" s="6">
        <f t="shared" si="1"/>
        <v>944.96</v>
      </c>
      <c r="N955" s="6">
        <f t="shared" si="2"/>
        <v>1264.2259</v>
      </c>
      <c r="O955" s="6">
        <f t="shared" si="3"/>
        <v>319.2659</v>
      </c>
      <c r="P955" s="7">
        <f t="shared" si="4"/>
        <v>0.2525386484</v>
      </c>
      <c r="Q955" s="6" t="s">
        <v>26</v>
      </c>
      <c r="R955" s="8">
        <f t="shared" si="5"/>
        <v>223.9741</v>
      </c>
    </row>
    <row r="956" ht="14.25" customHeight="1">
      <c r="A956" s="6" t="s">
        <v>2459</v>
      </c>
      <c r="B956" s="6" t="s">
        <v>676</v>
      </c>
      <c r="C956" s="6" t="s">
        <v>2460</v>
      </c>
      <c r="D956" s="6" t="s">
        <v>70</v>
      </c>
      <c r="E956" s="6" t="s">
        <v>38</v>
      </c>
      <c r="F956" s="6" t="s">
        <v>39</v>
      </c>
      <c r="G956" s="6">
        <v>7.0</v>
      </c>
      <c r="H956" s="6">
        <v>89.0</v>
      </c>
      <c r="I956" s="6">
        <v>157.85</v>
      </c>
      <c r="J956" s="6">
        <v>18.59</v>
      </c>
      <c r="K956" s="6" t="s">
        <v>24</v>
      </c>
      <c r="L956" s="6" t="s">
        <v>61</v>
      </c>
      <c r="M956" s="6">
        <f t="shared" si="1"/>
        <v>623</v>
      </c>
      <c r="N956" s="6">
        <f t="shared" si="2"/>
        <v>899.539795</v>
      </c>
      <c r="O956" s="6">
        <f t="shared" si="3"/>
        <v>276.539795</v>
      </c>
      <c r="P956" s="7">
        <f t="shared" si="4"/>
        <v>0.3074236365</v>
      </c>
      <c r="Q956" s="6" t="s">
        <v>34</v>
      </c>
      <c r="R956" s="8">
        <f t="shared" si="5"/>
        <v>205.410205</v>
      </c>
    </row>
    <row r="957" ht="14.25" customHeight="1">
      <c r="A957" s="6" t="s">
        <v>2461</v>
      </c>
      <c r="B957" s="6" t="s">
        <v>520</v>
      </c>
      <c r="C957" s="6" t="s">
        <v>2462</v>
      </c>
      <c r="D957" s="6" t="s">
        <v>64</v>
      </c>
      <c r="E957" s="6" t="s">
        <v>38</v>
      </c>
      <c r="F957" s="6" t="s">
        <v>39</v>
      </c>
      <c r="G957" s="6">
        <v>2.0</v>
      </c>
      <c r="H957" s="6">
        <v>51.72</v>
      </c>
      <c r="I957" s="6">
        <v>89.88</v>
      </c>
      <c r="J957" s="6">
        <v>3.74</v>
      </c>
      <c r="K957" s="6" t="s">
        <v>44</v>
      </c>
      <c r="L957" s="6" t="s">
        <v>55</v>
      </c>
      <c r="M957" s="6">
        <f t="shared" si="1"/>
        <v>103.44</v>
      </c>
      <c r="N957" s="6">
        <f t="shared" si="2"/>
        <v>173.036976</v>
      </c>
      <c r="O957" s="6">
        <f t="shared" si="3"/>
        <v>69.596976</v>
      </c>
      <c r="P957" s="7">
        <f t="shared" si="4"/>
        <v>0.4022086932</v>
      </c>
      <c r="Q957" s="6" t="s">
        <v>76</v>
      </c>
      <c r="R957" s="8">
        <f t="shared" si="5"/>
        <v>6.723024</v>
      </c>
    </row>
    <row r="958" ht="14.25" customHeight="1">
      <c r="A958" s="6" t="s">
        <v>2463</v>
      </c>
      <c r="B958" s="6" t="s">
        <v>2064</v>
      </c>
      <c r="C958" s="6" t="s">
        <v>2464</v>
      </c>
      <c r="D958" s="6" t="s">
        <v>83</v>
      </c>
      <c r="E958" s="6" t="s">
        <v>31</v>
      </c>
      <c r="F958" s="6" t="s">
        <v>32</v>
      </c>
      <c r="G958" s="6">
        <v>1.0</v>
      </c>
      <c r="H958" s="6">
        <v>144.61</v>
      </c>
      <c r="I958" s="6">
        <v>256.78</v>
      </c>
      <c r="J958" s="6">
        <v>0.6</v>
      </c>
      <c r="K958" s="6" t="s">
        <v>24</v>
      </c>
      <c r="L958" s="6" t="s">
        <v>55</v>
      </c>
      <c r="M958" s="6">
        <f t="shared" si="1"/>
        <v>144.61</v>
      </c>
      <c r="N958" s="6">
        <f t="shared" si="2"/>
        <v>255.23932</v>
      </c>
      <c r="O958" s="6">
        <f t="shared" si="3"/>
        <v>110.62932</v>
      </c>
      <c r="P958" s="7">
        <f t="shared" si="4"/>
        <v>0.4334336888</v>
      </c>
      <c r="Q958" s="6" t="s">
        <v>49</v>
      </c>
      <c r="R958" s="8">
        <f t="shared" si="5"/>
        <v>1.54068</v>
      </c>
    </row>
    <row r="959" ht="14.25" customHeight="1">
      <c r="A959" s="6" t="s">
        <v>2465</v>
      </c>
      <c r="B959" s="6" t="s">
        <v>877</v>
      </c>
      <c r="C959" s="6" t="s">
        <v>2466</v>
      </c>
      <c r="D959" s="6" t="s">
        <v>21</v>
      </c>
      <c r="E959" s="6" t="s">
        <v>104</v>
      </c>
      <c r="F959" s="6" t="s">
        <v>105</v>
      </c>
      <c r="G959" s="6">
        <v>8.0</v>
      </c>
      <c r="H959" s="6">
        <v>387.21</v>
      </c>
      <c r="I959" s="6">
        <v>555.67</v>
      </c>
      <c r="J959" s="6">
        <v>24.19</v>
      </c>
      <c r="K959" s="6" t="s">
        <v>24</v>
      </c>
      <c r="L959" s="6" t="s">
        <v>33</v>
      </c>
      <c r="M959" s="6">
        <f t="shared" si="1"/>
        <v>3097.68</v>
      </c>
      <c r="N959" s="6">
        <f t="shared" si="2"/>
        <v>3370.027416</v>
      </c>
      <c r="O959" s="6">
        <f t="shared" si="3"/>
        <v>272.347416</v>
      </c>
      <c r="P959" s="7">
        <f t="shared" si="4"/>
        <v>0.08081459952</v>
      </c>
      <c r="Q959" s="6" t="s">
        <v>40</v>
      </c>
      <c r="R959" s="8">
        <f t="shared" si="5"/>
        <v>1075.332584</v>
      </c>
    </row>
    <row r="960" ht="14.25" customHeight="1">
      <c r="A960" s="6" t="s">
        <v>2467</v>
      </c>
      <c r="B960" s="6" t="s">
        <v>2468</v>
      </c>
      <c r="C960" s="6" t="s">
        <v>2469</v>
      </c>
      <c r="D960" s="6" t="s">
        <v>30</v>
      </c>
      <c r="E960" s="6" t="s">
        <v>65</v>
      </c>
      <c r="F960" s="6" t="s">
        <v>75</v>
      </c>
      <c r="G960" s="6">
        <v>6.0</v>
      </c>
      <c r="H960" s="6">
        <v>207.01</v>
      </c>
      <c r="I960" s="6">
        <v>297.77</v>
      </c>
      <c r="J960" s="6">
        <v>4.8</v>
      </c>
      <c r="K960" s="6" t="s">
        <v>24</v>
      </c>
      <c r="L960" s="6" t="s">
        <v>33</v>
      </c>
      <c r="M960" s="6">
        <f t="shared" si="1"/>
        <v>1242.06</v>
      </c>
      <c r="N960" s="6">
        <f t="shared" si="2"/>
        <v>1700.86224</v>
      </c>
      <c r="O960" s="6">
        <f t="shared" si="3"/>
        <v>458.80224</v>
      </c>
      <c r="P960" s="7">
        <f t="shared" si="4"/>
        <v>0.269746855</v>
      </c>
      <c r="Q960" s="6" t="s">
        <v>34</v>
      </c>
      <c r="R960" s="8">
        <f t="shared" si="5"/>
        <v>85.75776</v>
      </c>
    </row>
    <row r="961" ht="14.25" customHeight="1">
      <c r="A961" s="6" t="s">
        <v>2470</v>
      </c>
      <c r="B961" s="6" t="s">
        <v>589</v>
      </c>
      <c r="C961" s="6" t="s">
        <v>2471</v>
      </c>
      <c r="D961" s="6" t="s">
        <v>30</v>
      </c>
      <c r="E961" s="6" t="s">
        <v>22</v>
      </c>
      <c r="F961" s="6" t="s">
        <v>23</v>
      </c>
      <c r="G961" s="6">
        <v>4.0</v>
      </c>
      <c r="H961" s="6">
        <v>122.3</v>
      </c>
      <c r="I961" s="6">
        <v>159.48</v>
      </c>
      <c r="J961" s="6">
        <v>13.48</v>
      </c>
      <c r="K961" s="6" t="s">
        <v>24</v>
      </c>
      <c r="L961" s="6" t="s">
        <v>61</v>
      </c>
      <c r="M961" s="6">
        <f t="shared" si="1"/>
        <v>489.2</v>
      </c>
      <c r="N961" s="6">
        <f t="shared" si="2"/>
        <v>551.928384</v>
      </c>
      <c r="O961" s="6">
        <f t="shared" si="3"/>
        <v>62.728384</v>
      </c>
      <c r="P961" s="7">
        <f t="shared" si="4"/>
        <v>0.1136531221</v>
      </c>
      <c r="Q961" s="6" t="s">
        <v>49</v>
      </c>
      <c r="R961" s="8">
        <f t="shared" si="5"/>
        <v>85.991616</v>
      </c>
    </row>
    <row r="962" ht="14.25" customHeight="1">
      <c r="A962" s="6" t="s">
        <v>2472</v>
      </c>
      <c r="B962" s="6" t="s">
        <v>266</v>
      </c>
      <c r="C962" s="6" t="s">
        <v>2473</v>
      </c>
      <c r="D962" s="6" t="s">
        <v>64</v>
      </c>
      <c r="E962" s="6" t="s">
        <v>31</v>
      </c>
      <c r="F962" s="6" t="s">
        <v>32</v>
      </c>
      <c r="G962" s="6">
        <v>6.0</v>
      </c>
      <c r="H962" s="6">
        <v>293.03</v>
      </c>
      <c r="I962" s="6">
        <v>536.51</v>
      </c>
      <c r="J962" s="6">
        <v>7.93</v>
      </c>
      <c r="K962" s="6" t="s">
        <v>44</v>
      </c>
      <c r="L962" s="6" t="s">
        <v>55</v>
      </c>
      <c r="M962" s="6">
        <f t="shared" si="1"/>
        <v>1758.18</v>
      </c>
      <c r="N962" s="6">
        <f t="shared" si="2"/>
        <v>2963.788542</v>
      </c>
      <c r="O962" s="6">
        <f t="shared" si="3"/>
        <v>1205.608542</v>
      </c>
      <c r="P962" s="7">
        <f t="shared" si="4"/>
        <v>0.4067795408</v>
      </c>
      <c r="Q962" s="6" t="s">
        <v>49</v>
      </c>
      <c r="R962" s="8">
        <f t="shared" si="5"/>
        <v>255.271458</v>
      </c>
    </row>
    <row r="963" ht="14.25" customHeight="1">
      <c r="A963" s="6" t="s">
        <v>2474</v>
      </c>
      <c r="B963" s="6" t="s">
        <v>1709</v>
      </c>
      <c r="C963" s="6" t="s">
        <v>2475</v>
      </c>
      <c r="D963" s="6" t="s">
        <v>48</v>
      </c>
      <c r="E963" s="6" t="s">
        <v>104</v>
      </c>
      <c r="F963" s="6" t="s">
        <v>105</v>
      </c>
      <c r="G963" s="6">
        <v>8.0</v>
      </c>
      <c r="H963" s="6">
        <v>389.64</v>
      </c>
      <c r="I963" s="6">
        <v>548.84</v>
      </c>
      <c r="J963" s="6">
        <v>21.94</v>
      </c>
      <c r="K963" s="6" t="s">
        <v>44</v>
      </c>
      <c r="L963" s="6" t="s">
        <v>25</v>
      </c>
      <c r="M963" s="6">
        <f t="shared" si="1"/>
        <v>3117.12</v>
      </c>
      <c r="N963" s="6">
        <f t="shared" si="2"/>
        <v>3427.396032</v>
      </c>
      <c r="O963" s="6">
        <f t="shared" si="3"/>
        <v>310.276032</v>
      </c>
      <c r="P963" s="7">
        <f t="shared" si="4"/>
        <v>0.09052821124</v>
      </c>
      <c r="Q963" s="6" t="s">
        <v>34</v>
      </c>
      <c r="R963" s="8">
        <f t="shared" si="5"/>
        <v>963.323968</v>
      </c>
    </row>
    <row r="964" ht="14.25" customHeight="1">
      <c r="A964" s="6" t="s">
        <v>2476</v>
      </c>
      <c r="B964" s="6" t="s">
        <v>1097</v>
      </c>
      <c r="C964" s="6" t="s">
        <v>2477</v>
      </c>
      <c r="D964" s="6" t="s">
        <v>30</v>
      </c>
      <c r="E964" s="6" t="s">
        <v>38</v>
      </c>
      <c r="F964" s="6" t="s">
        <v>71</v>
      </c>
      <c r="G964" s="6">
        <v>1.0</v>
      </c>
      <c r="H964" s="6">
        <v>382.53</v>
      </c>
      <c r="I964" s="6">
        <v>545.43</v>
      </c>
      <c r="J964" s="6">
        <v>5.97</v>
      </c>
      <c r="K964" s="6" t="s">
        <v>24</v>
      </c>
      <c r="L964" s="6" t="s">
        <v>33</v>
      </c>
      <c r="M964" s="6">
        <f t="shared" si="1"/>
        <v>382.53</v>
      </c>
      <c r="N964" s="6">
        <f t="shared" si="2"/>
        <v>512.867829</v>
      </c>
      <c r="O964" s="6">
        <f t="shared" si="3"/>
        <v>130.337829</v>
      </c>
      <c r="P964" s="7">
        <f t="shared" si="4"/>
        <v>0.2541353184</v>
      </c>
      <c r="Q964" s="6" t="s">
        <v>26</v>
      </c>
      <c r="R964" s="8">
        <f t="shared" si="5"/>
        <v>32.562171</v>
      </c>
    </row>
    <row r="965" ht="14.25" customHeight="1">
      <c r="A965" s="6" t="s">
        <v>2478</v>
      </c>
      <c r="B965" s="6" t="s">
        <v>2354</v>
      </c>
      <c r="C965" s="6" t="s">
        <v>2479</v>
      </c>
      <c r="D965" s="6" t="s">
        <v>70</v>
      </c>
      <c r="E965" s="6" t="s">
        <v>22</v>
      </c>
      <c r="F965" s="6" t="s">
        <v>23</v>
      </c>
      <c r="G965" s="6">
        <v>3.0</v>
      </c>
      <c r="H965" s="6">
        <v>224.09</v>
      </c>
      <c r="I965" s="6">
        <v>329.42</v>
      </c>
      <c r="J965" s="6">
        <v>24.95</v>
      </c>
      <c r="K965" s="6" t="s">
        <v>44</v>
      </c>
      <c r="L965" s="6" t="s">
        <v>61</v>
      </c>
      <c r="M965" s="6">
        <f t="shared" si="1"/>
        <v>672.27</v>
      </c>
      <c r="N965" s="6">
        <f t="shared" si="2"/>
        <v>741.68913</v>
      </c>
      <c r="O965" s="6">
        <f t="shared" si="3"/>
        <v>69.41913</v>
      </c>
      <c r="P965" s="7">
        <f t="shared" si="4"/>
        <v>0.09359599216</v>
      </c>
      <c r="Q965" s="6" t="s">
        <v>49</v>
      </c>
      <c r="R965" s="8">
        <f t="shared" si="5"/>
        <v>246.57087</v>
      </c>
    </row>
    <row r="966" ht="14.25" customHeight="1">
      <c r="A966" s="6" t="s">
        <v>2480</v>
      </c>
      <c r="B966" s="6" t="s">
        <v>1012</v>
      </c>
      <c r="C966" s="6" t="s">
        <v>2481</v>
      </c>
      <c r="D966" s="6" t="s">
        <v>48</v>
      </c>
      <c r="E966" s="6" t="s">
        <v>87</v>
      </c>
      <c r="F966" s="6" t="s">
        <v>88</v>
      </c>
      <c r="G966" s="6">
        <v>7.0</v>
      </c>
      <c r="H966" s="6">
        <v>200.65</v>
      </c>
      <c r="I966" s="6">
        <v>297.7</v>
      </c>
      <c r="J966" s="6">
        <v>13.34</v>
      </c>
      <c r="K966" s="6" t="s">
        <v>44</v>
      </c>
      <c r="L966" s="6" t="s">
        <v>61</v>
      </c>
      <c r="M966" s="6">
        <f t="shared" si="1"/>
        <v>1404.55</v>
      </c>
      <c r="N966" s="6">
        <f t="shared" si="2"/>
        <v>1805.90774</v>
      </c>
      <c r="O966" s="6">
        <f t="shared" si="3"/>
        <v>401.35774</v>
      </c>
      <c r="P966" s="7">
        <f t="shared" si="4"/>
        <v>0.22224709</v>
      </c>
      <c r="Q966" s="6" t="s">
        <v>49</v>
      </c>
      <c r="R966" s="8">
        <f t="shared" si="5"/>
        <v>277.99226</v>
      </c>
    </row>
    <row r="967" ht="14.25" customHeight="1">
      <c r="A967" s="6" t="s">
        <v>2482</v>
      </c>
      <c r="B967" s="6" t="s">
        <v>1796</v>
      </c>
      <c r="C967" s="6" t="s">
        <v>2483</v>
      </c>
      <c r="D967" s="6" t="s">
        <v>48</v>
      </c>
      <c r="E967" s="6" t="s">
        <v>65</v>
      </c>
      <c r="F967" s="6" t="s">
        <v>75</v>
      </c>
      <c r="G967" s="6">
        <v>1.0</v>
      </c>
      <c r="H967" s="6">
        <v>266.41</v>
      </c>
      <c r="I967" s="6">
        <v>315.64</v>
      </c>
      <c r="J967" s="6">
        <v>20.13</v>
      </c>
      <c r="K967" s="6" t="s">
        <v>44</v>
      </c>
      <c r="L967" s="6" t="s">
        <v>55</v>
      </c>
      <c r="M967" s="6">
        <f t="shared" si="1"/>
        <v>266.41</v>
      </c>
      <c r="N967" s="6">
        <f t="shared" si="2"/>
        <v>252.101668</v>
      </c>
      <c r="O967" s="6">
        <f t="shared" si="3"/>
        <v>-14.308332</v>
      </c>
      <c r="P967" s="7">
        <f t="shared" si="4"/>
        <v>-0.05675619727</v>
      </c>
      <c r="Q967" s="6" t="s">
        <v>40</v>
      </c>
      <c r="R967" s="8">
        <f t="shared" si="5"/>
        <v>63.538332</v>
      </c>
    </row>
    <row r="968" ht="14.25" customHeight="1">
      <c r="A968" s="6" t="s">
        <v>2484</v>
      </c>
      <c r="B968" s="6" t="s">
        <v>1026</v>
      </c>
      <c r="C968" s="6" t="s">
        <v>2485</v>
      </c>
      <c r="D968" s="6" t="s">
        <v>64</v>
      </c>
      <c r="E968" s="6" t="s">
        <v>53</v>
      </c>
      <c r="F968" s="6" t="s">
        <v>54</v>
      </c>
      <c r="G968" s="6">
        <v>7.0</v>
      </c>
      <c r="H968" s="6">
        <v>336.99</v>
      </c>
      <c r="I968" s="6">
        <v>589.69</v>
      </c>
      <c r="J968" s="6">
        <v>9.77</v>
      </c>
      <c r="K968" s="6" t="s">
        <v>44</v>
      </c>
      <c r="L968" s="6" t="s">
        <v>61</v>
      </c>
      <c r="M968" s="6">
        <f t="shared" si="1"/>
        <v>2358.93</v>
      </c>
      <c r="N968" s="6">
        <f t="shared" si="2"/>
        <v>3724.541009</v>
      </c>
      <c r="O968" s="6">
        <f t="shared" si="3"/>
        <v>1365.611009</v>
      </c>
      <c r="P968" s="7">
        <f t="shared" si="4"/>
        <v>0.3666521608</v>
      </c>
      <c r="Q968" s="6" t="s">
        <v>49</v>
      </c>
      <c r="R968" s="8">
        <f t="shared" si="5"/>
        <v>403.288991</v>
      </c>
    </row>
    <row r="969" ht="14.25" customHeight="1">
      <c r="A969" s="6" t="s">
        <v>2486</v>
      </c>
      <c r="B969" s="6" t="s">
        <v>2487</v>
      </c>
      <c r="C969" s="6" t="s">
        <v>2488</v>
      </c>
      <c r="D969" s="6" t="s">
        <v>48</v>
      </c>
      <c r="E969" s="6" t="s">
        <v>59</v>
      </c>
      <c r="F969" s="6" t="s">
        <v>60</v>
      </c>
      <c r="G969" s="6">
        <v>6.0</v>
      </c>
      <c r="H969" s="6">
        <v>236.15</v>
      </c>
      <c r="I969" s="6">
        <v>284.96</v>
      </c>
      <c r="J969" s="6">
        <v>14.3</v>
      </c>
      <c r="K969" s="6" t="s">
        <v>44</v>
      </c>
      <c r="L969" s="6" t="s">
        <v>25</v>
      </c>
      <c r="M969" s="6">
        <f t="shared" si="1"/>
        <v>1416.9</v>
      </c>
      <c r="N969" s="6">
        <f t="shared" si="2"/>
        <v>1465.26432</v>
      </c>
      <c r="O969" s="6">
        <f t="shared" si="3"/>
        <v>48.36432</v>
      </c>
      <c r="P969" s="7">
        <f t="shared" si="4"/>
        <v>0.03300723244</v>
      </c>
      <c r="Q969" s="6" t="s">
        <v>34</v>
      </c>
      <c r="R969" s="8">
        <f t="shared" si="5"/>
        <v>244.49568</v>
      </c>
    </row>
    <row r="970" ht="14.25" customHeight="1">
      <c r="A970" s="6" t="s">
        <v>2489</v>
      </c>
      <c r="B970" s="6" t="s">
        <v>2490</v>
      </c>
      <c r="C970" s="6" t="s">
        <v>2491</v>
      </c>
      <c r="D970" s="6" t="s">
        <v>48</v>
      </c>
      <c r="E970" s="6" t="s">
        <v>22</v>
      </c>
      <c r="F970" s="6" t="s">
        <v>23</v>
      </c>
      <c r="G970" s="6">
        <v>3.0</v>
      </c>
      <c r="H970" s="6">
        <v>216.7</v>
      </c>
      <c r="I970" s="6">
        <v>290.77</v>
      </c>
      <c r="J970" s="6">
        <v>9.84</v>
      </c>
      <c r="K970" s="6" t="s">
        <v>24</v>
      </c>
      <c r="L970" s="6" t="s">
        <v>25</v>
      </c>
      <c r="M970" s="6">
        <f t="shared" si="1"/>
        <v>650.1</v>
      </c>
      <c r="N970" s="6">
        <f t="shared" si="2"/>
        <v>786.474696</v>
      </c>
      <c r="O970" s="6">
        <f t="shared" si="3"/>
        <v>136.374696</v>
      </c>
      <c r="P970" s="7">
        <f t="shared" si="4"/>
        <v>0.1733999793</v>
      </c>
      <c r="Q970" s="6" t="s">
        <v>26</v>
      </c>
      <c r="R970" s="8">
        <f t="shared" si="5"/>
        <v>85.835304</v>
      </c>
    </row>
    <row r="971" ht="14.25" customHeight="1">
      <c r="A971" s="6" t="s">
        <v>2492</v>
      </c>
      <c r="B971" s="6" t="s">
        <v>614</v>
      </c>
      <c r="C971" s="6" t="s">
        <v>2493</v>
      </c>
      <c r="D971" s="6" t="s">
        <v>48</v>
      </c>
      <c r="E971" s="6" t="s">
        <v>22</v>
      </c>
      <c r="F971" s="6" t="s">
        <v>23</v>
      </c>
      <c r="G971" s="6">
        <v>3.0</v>
      </c>
      <c r="H971" s="6">
        <v>72.29</v>
      </c>
      <c r="I971" s="6">
        <v>144.08</v>
      </c>
      <c r="J971" s="6">
        <v>14.92</v>
      </c>
      <c r="K971" s="6" t="s">
        <v>44</v>
      </c>
      <c r="L971" s="6" t="s">
        <v>55</v>
      </c>
      <c r="M971" s="6">
        <f t="shared" si="1"/>
        <v>216.87</v>
      </c>
      <c r="N971" s="6">
        <f t="shared" si="2"/>
        <v>367.749792</v>
      </c>
      <c r="O971" s="6">
        <f t="shared" si="3"/>
        <v>150.879792</v>
      </c>
      <c r="P971" s="7">
        <f t="shared" si="4"/>
        <v>0.4102783884</v>
      </c>
      <c r="Q971" s="6" t="s">
        <v>76</v>
      </c>
      <c r="R971" s="8">
        <f t="shared" si="5"/>
        <v>64.490208</v>
      </c>
    </row>
    <row r="972" ht="14.25" customHeight="1">
      <c r="A972" s="6" t="s">
        <v>2494</v>
      </c>
      <c r="B972" s="6" t="s">
        <v>2331</v>
      </c>
      <c r="C972" s="6" t="s">
        <v>2495</v>
      </c>
      <c r="D972" s="6" t="s">
        <v>64</v>
      </c>
      <c r="E972" s="6" t="s">
        <v>38</v>
      </c>
      <c r="F972" s="6" t="s">
        <v>71</v>
      </c>
      <c r="G972" s="6">
        <v>3.0</v>
      </c>
      <c r="H972" s="6">
        <v>261.02</v>
      </c>
      <c r="I972" s="6">
        <v>419.84</v>
      </c>
      <c r="J972" s="6">
        <v>4.46</v>
      </c>
      <c r="K972" s="6" t="s">
        <v>44</v>
      </c>
      <c r="L972" s="6" t="s">
        <v>33</v>
      </c>
      <c r="M972" s="6">
        <f t="shared" si="1"/>
        <v>783.06</v>
      </c>
      <c r="N972" s="6">
        <f t="shared" si="2"/>
        <v>1203.345408</v>
      </c>
      <c r="O972" s="6">
        <f t="shared" si="3"/>
        <v>420.285408</v>
      </c>
      <c r="P972" s="7">
        <f t="shared" si="4"/>
        <v>0.3492641474</v>
      </c>
      <c r="Q972" s="6" t="s">
        <v>49</v>
      </c>
      <c r="R972" s="8">
        <f t="shared" si="5"/>
        <v>56.174592</v>
      </c>
    </row>
    <row r="973" ht="14.25" customHeight="1">
      <c r="A973" s="6" t="s">
        <v>2496</v>
      </c>
      <c r="B973" s="6" t="s">
        <v>777</v>
      </c>
      <c r="C973" s="6" t="s">
        <v>2497</v>
      </c>
      <c r="D973" s="6" t="s">
        <v>21</v>
      </c>
      <c r="E973" s="6" t="s">
        <v>38</v>
      </c>
      <c r="F973" s="6" t="s">
        <v>39</v>
      </c>
      <c r="G973" s="6">
        <v>1.0</v>
      </c>
      <c r="H973" s="6">
        <v>160.22</v>
      </c>
      <c r="I973" s="6">
        <v>238.27</v>
      </c>
      <c r="J973" s="6">
        <v>2.43</v>
      </c>
      <c r="K973" s="6" t="s">
        <v>24</v>
      </c>
      <c r="L973" s="6" t="s">
        <v>61</v>
      </c>
      <c r="M973" s="6">
        <f t="shared" si="1"/>
        <v>160.22</v>
      </c>
      <c r="N973" s="6">
        <f t="shared" si="2"/>
        <v>232.480039</v>
      </c>
      <c r="O973" s="6">
        <f t="shared" si="3"/>
        <v>72.260039</v>
      </c>
      <c r="P973" s="7">
        <f t="shared" si="4"/>
        <v>0.310822552</v>
      </c>
      <c r="Q973" s="6" t="s">
        <v>40</v>
      </c>
      <c r="R973" s="8">
        <f t="shared" si="5"/>
        <v>5.789961</v>
      </c>
    </row>
    <row r="974" ht="14.25" customHeight="1">
      <c r="A974" s="6" t="s">
        <v>2498</v>
      </c>
      <c r="B974" s="6" t="s">
        <v>2499</v>
      </c>
      <c r="C974" s="6" t="s">
        <v>2500</v>
      </c>
      <c r="D974" s="6" t="s">
        <v>83</v>
      </c>
      <c r="E974" s="6" t="s">
        <v>38</v>
      </c>
      <c r="F974" s="6" t="s">
        <v>39</v>
      </c>
      <c r="G974" s="6">
        <v>4.0</v>
      </c>
      <c r="H974" s="6">
        <v>300.12</v>
      </c>
      <c r="I974" s="6">
        <v>540.48</v>
      </c>
      <c r="J974" s="6">
        <v>22.06</v>
      </c>
      <c r="K974" s="6" t="s">
        <v>44</v>
      </c>
      <c r="L974" s="6" t="s">
        <v>33</v>
      </c>
      <c r="M974" s="6">
        <f t="shared" si="1"/>
        <v>1200.48</v>
      </c>
      <c r="N974" s="6">
        <f t="shared" si="2"/>
        <v>1685.000448</v>
      </c>
      <c r="O974" s="6">
        <f t="shared" si="3"/>
        <v>484.520448</v>
      </c>
      <c r="P974" s="7">
        <f t="shared" si="4"/>
        <v>0.2875491508</v>
      </c>
      <c r="Q974" s="6" t="s">
        <v>34</v>
      </c>
      <c r="R974" s="8">
        <f t="shared" si="5"/>
        <v>476.919552</v>
      </c>
    </row>
    <row r="975" ht="14.25" customHeight="1">
      <c r="A975" s="6" t="s">
        <v>2501</v>
      </c>
      <c r="B975" s="6" t="s">
        <v>2502</v>
      </c>
      <c r="C975" s="6" t="s">
        <v>2503</v>
      </c>
      <c r="D975" s="6" t="s">
        <v>64</v>
      </c>
      <c r="E975" s="6" t="s">
        <v>104</v>
      </c>
      <c r="F975" s="6" t="s">
        <v>105</v>
      </c>
      <c r="G975" s="6">
        <v>7.0</v>
      </c>
      <c r="H975" s="6">
        <v>117.13</v>
      </c>
      <c r="I975" s="6">
        <v>171.59</v>
      </c>
      <c r="J975" s="6">
        <v>16.26</v>
      </c>
      <c r="K975" s="6" t="s">
        <v>24</v>
      </c>
      <c r="L975" s="6" t="s">
        <v>61</v>
      </c>
      <c r="M975" s="6">
        <f t="shared" si="1"/>
        <v>819.91</v>
      </c>
      <c r="N975" s="6">
        <f t="shared" si="2"/>
        <v>1005.826262</v>
      </c>
      <c r="O975" s="6">
        <f t="shared" si="3"/>
        <v>185.916262</v>
      </c>
      <c r="P975" s="7">
        <f t="shared" si="4"/>
        <v>0.1848393396</v>
      </c>
      <c r="Q975" s="6" t="s">
        <v>26</v>
      </c>
      <c r="R975" s="8">
        <f t="shared" si="5"/>
        <v>195.303738</v>
      </c>
    </row>
    <row r="976" ht="14.25" customHeight="1">
      <c r="A976" s="6" t="s">
        <v>2504</v>
      </c>
      <c r="B976" s="6" t="s">
        <v>565</v>
      </c>
      <c r="C976" s="6" t="s">
        <v>2505</v>
      </c>
      <c r="D976" s="6" t="s">
        <v>21</v>
      </c>
      <c r="E976" s="6" t="s">
        <v>59</v>
      </c>
      <c r="F976" s="6" t="s">
        <v>60</v>
      </c>
      <c r="G976" s="6">
        <v>2.0</v>
      </c>
      <c r="H976" s="6">
        <v>193.74</v>
      </c>
      <c r="I976" s="6">
        <v>262.57</v>
      </c>
      <c r="J976" s="6">
        <v>15.14</v>
      </c>
      <c r="K976" s="6" t="s">
        <v>24</v>
      </c>
      <c r="L976" s="6" t="s">
        <v>55</v>
      </c>
      <c r="M976" s="6">
        <f t="shared" si="1"/>
        <v>387.48</v>
      </c>
      <c r="N976" s="6">
        <f t="shared" si="2"/>
        <v>445.633804</v>
      </c>
      <c r="O976" s="6">
        <f t="shared" si="3"/>
        <v>58.153804</v>
      </c>
      <c r="P976" s="7">
        <f t="shared" si="4"/>
        <v>0.1304968418</v>
      </c>
      <c r="Q976" s="6" t="s">
        <v>40</v>
      </c>
      <c r="R976" s="8">
        <f t="shared" si="5"/>
        <v>79.506196</v>
      </c>
    </row>
    <row r="977" ht="14.25" customHeight="1">
      <c r="A977" s="6" t="s">
        <v>2506</v>
      </c>
      <c r="B977" s="6" t="s">
        <v>1301</v>
      </c>
      <c r="C977" s="6" t="s">
        <v>2507</v>
      </c>
      <c r="D977" s="6" t="s">
        <v>48</v>
      </c>
      <c r="E977" s="6" t="s">
        <v>65</v>
      </c>
      <c r="F977" s="6" t="s">
        <v>75</v>
      </c>
      <c r="G977" s="6">
        <v>6.0</v>
      </c>
      <c r="H977" s="6">
        <v>263.36</v>
      </c>
      <c r="I977" s="6">
        <v>473.66</v>
      </c>
      <c r="J977" s="6">
        <v>0.7</v>
      </c>
      <c r="K977" s="6" t="s">
        <v>24</v>
      </c>
      <c r="L977" s="6" t="s">
        <v>33</v>
      </c>
      <c r="M977" s="6">
        <f t="shared" si="1"/>
        <v>1580.16</v>
      </c>
      <c r="N977" s="6">
        <f t="shared" si="2"/>
        <v>2822.06628</v>
      </c>
      <c r="O977" s="6">
        <f t="shared" si="3"/>
        <v>1241.90628</v>
      </c>
      <c r="P977" s="7">
        <f t="shared" si="4"/>
        <v>0.4400698484</v>
      </c>
      <c r="Q977" s="6" t="s">
        <v>40</v>
      </c>
      <c r="R977" s="8">
        <f t="shared" si="5"/>
        <v>19.89372</v>
      </c>
    </row>
    <row r="978" ht="14.25" customHeight="1">
      <c r="A978" s="6" t="s">
        <v>2508</v>
      </c>
      <c r="B978" s="6" t="s">
        <v>2386</v>
      </c>
      <c r="C978" s="6" t="s">
        <v>2509</v>
      </c>
      <c r="D978" s="6" t="s">
        <v>30</v>
      </c>
      <c r="E978" s="6" t="s">
        <v>31</v>
      </c>
      <c r="F978" s="6" t="s">
        <v>32</v>
      </c>
      <c r="G978" s="6">
        <v>2.0</v>
      </c>
      <c r="H978" s="6">
        <v>262.54</v>
      </c>
      <c r="I978" s="6">
        <v>451.04</v>
      </c>
      <c r="J978" s="6">
        <v>8.4</v>
      </c>
      <c r="K978" s="6" t="s">
        <v>44</v>
      </c>
      <c r="L978" s="6" t="s">
        <v>33</v>
      </c>
      <c r="M978" s="6">
        <f t="shared" si="1"/>
        <v>525.08</v>
      </c>
      <c r="N978" s="6">
        <f t="shared" si="2"/>
        <v>826.30528</v>
      </c>
      <c r="O978" s="6">
        <f t="shared" si="3"/>
        <v>301.22528</v>
      </c>
      <c r="P978" s="7">
        <f t="shared" si="4"/>
        <v>0.3645447842</v>
      </c>
      <c r="Q978" s="6" t="s">
        <v>76</v>
      </c>
      <c r="R978" s="8">
        <f t="shared" si="5"/>
        <v>75.77472</v>
      </c>
    </row>
    <row r="979" ht="14.25" customHeight="1">
      <c r="A979" s="6" t="s">
        <v>2510</v>
      </c>
      <c r="B979" s="6" t="s">
        <v>408</v>
      </c>
      <c r="C979" s="6" t="s">
        <v>2511</v>
      </c>
      <c r="D979" s="6" t="s">
        <v>83</v>
      </c>
      <c r="E979" s="6" t="s">
        <v>53</v>
      </c>
      <c r="F979" s="6" t="s">
        <v>54</v>
      </c>
      <c r="G979" s="6">
        <v>1.0</v>
      </c>
      <c r="H979" s="6">
        <v>189.3</v>
      </c>
      <c r="I979" s="6">
        <v>224.18</v>
      </c>
      <c r="J979" s="6">
        <v>24.69</v>
      </c>
      <c r="K979" s="6" t="s">
        <v>44</v>
      </c>
      <c r="L979" s="6" t="s">
        <v>25</v>
      </c>
      <c r="M979" s="6">
        <f t="shared" si="1"/>
        <v>189.3</v>
      </c>
      <c r="N979" s="6">
        <f t="shared" si="2"/>
        <v>168.829958</v>
      </c>
      <c r="O979" s="6">
        <f t="shared" si="3"/>
        <v>-20.470042</v>
      </c>
      <c r="P979" s="7">
        <f t="shared" si="4"/>
        <v>-0.1212465029</v>
      </c>
      <c r="Q979" s="6" t="s">
        <v>49</v>
      </c>
      <c r="R979" s="8">
        <f t="shared" si="5"/>
        <v>55.350042</v>
      </c>
    </row>
    <row r="980" ht="14.25" customHeight="1">
      <c r="A980" s="6" t="s">
        <v>2512</v>
      </c>
      <c r="B980" s="6" t="s">
        <v>2513</v>
      </c>
      <c r="C980" s="6" t="s">
        <v>2514</v>
      </c>
      <c r="D980" s="6" t="s">
        <v>83</v>
      </c>
      <c r="E980" s="6" t="s">
        <v>53</v>
      </c>
      <c r="F980" s="6" t="s">
        <v>54</v>
      </c>
      <c r="G980" s="6">
        <v>4.0</v>
      </c>
      <c r="H980" s="6">
        <v>298.73</v>
      </c>
      <c r="I980" s="6">
        <v>374.68</v>
      </c>
      <c r="J980" s="6">
        <v>16.93</v>
      </c>
      <c r="K980" s="6" t="s">
        <v>24</v>
      </c>
      <c r="L980" s="6" t="s">
        <v>33</v>
      </c>
      <c r="M980" s="6">
        <f t="shared" si="1"/>
        <v>1194.92</v>
      </c>
      <c r="N980" s="6">
        <f t="shared" si="2"/>
        <v>1244.986704</v>
      </c>
      <c r="O980" s="6">
        <f t="shared" si="3"/>
        <v>50.066704</v>
      </c>
      <c r="P980" s="7">
        <f t="shared" si="4"/>
        <v>0.04021464955</v>
      </c>
      <c r="Q980" s="6" t="s">
        <v>49</v>
      </c>
      <c r="R980" s="8">
        <f t="shared" si="5"/>
        <v>253.733296</v>
      </c>
    </row>
    <row r="981" ht="14.25" customHeight="1">
      <c r="A981" s="6" t="s">
        <v>2515</v>
      </c>
      <c r="B981" s="6" t="s">
        <v>96</v>
      </c>
      <c r="C981" s="6" t="s">
        <v>2514</v>
      </c>
      <c r="D981" s="6" t="s">
        <v>48</v>
      </c>
      <c r="E981" s="6" t="s">
        <v>31</v>
      </c>
      <c r="F981" s="6" t="s">
        <v>32</v>
      </c>
      <c r="G981" s="6">
        <v>8.0</v>
      </c>
      <c r="H981" s="6">
        <v>236.27</v>
      </c>
      <c r="I981" s="6">
        <v>342.49</v>
      </c>
      <c r="J981" s="6">
        <v>20.24</v>
      </c>
      <c r="K981" s="6" t="s">
        <v>44</v>
      </c>
      <c r="L981" s="6" t="s">
        <v>25</v>
      </c>
      <c r="M981" s="6">
        <f t="shared" si="1"/>
        <v>1890.16</v>
      </c>
      <c r="N981" s="6">
        <f t="shared" si="2"/>
        <v>2185.360192</v>
      </c>
      <c r="O981" s="6">
        <f t="shared" si="3"/>
        <v>295.200192</v>
      </c>
      <c r="P981" s="7">
        <f t="shared" si="4"/>
        <v>0.135080795</v>
      </c>
      <c r="Q981" s="6" t="s">
        <v>34</v>
      </c>
      <c r="R981" s="8">
        <f t="shared" si="5"/>
        <v>554.559808</v>
      </c>
    </row>
    <row r="982" ht="14.25" customHeight="1">
      <c r="A982" s="6" t="s">
        <v>2516</v>
      </c>
      <c r="B982" s="6" t="s">
        <v>390</v>
      </c>
      <c r="C982" s="6" t="s">
        <v>2517</v>
      </c>
      <c r="D982" s="6" t="s">
        <v>21</v>
      </c>
      <c r="E982" s="6" t="s">
        <v>22</v>
      </c>
      <c r="F982" s="6" t="s">
        <v>23</v>
      </c>
      <c r="G982" s="6">
        <v>8.0</v>
      </c>
      <c r="H982" s="6">
        <v>109.84</v>
      </c>
      <c r="I982" s="6">
        <v>167.39</v>
      </c>
      <c r="J982" s="6">
        <v>2.89</v>
      </c>
      <c r="K982" s="6" t="s">
        <v>44</v>
      </c>
      <c r="L982" s="6" t="s">
        <v>33</v>
      </c>
      <c r="M982" s="6">
        <f t="shared" si="1"/>
        <v>878.72</v>
      </c>
      <c r="N982" s="6">
        <f t="shared" si="2"/>
        <v>1300.419432</v>
      </c>
      <c r="O982" s="6">
        <f t="shared" si="3"/>
        <v>421.699432</v>
      </c>
      <c r="P982" s="7">
        <f t="shared" si="4"/>
        <v>0.3242795529</v>
      </c>
      <c r="Q982" s="6" t="s">
        <v>76</v>
      </c>
      <c r="R982" s="8">
        <f t="shared" si="5"/>
        <v>38.700568</v>
      </c>
    </row>
    <row r="983" ht="14.25" customHeight="1">
      <c r="A983" s="6" t="s">
        <v>2518</v>
      </c>
      <c r="B983" s="6" t="s">
        <v>1508</v>
      </c>
      <c r="C983" s="6" t="s">
        <v>2519</v>
      </c>
      <c r="D983" s="6" t="s">
        <v>30</v>
      </c>
      <c r="E983" s="6" t="s">
        <v>53</v>
      </c>
      <c r="F983" s="6" t="s">
        <v>54</v>
      </c>
      <c r="G983" s="6">
        <v>3.0</v>
      </c>
      <c r="H983" s="6">
        <v>84.34</v>
      </c>
      <c r="I983" s="6">
        <v>108.16</v>
      </c>
      <c r="J983" s="6">
        <v>11.96</v>
      </c>
      <c r="K983" s="6" t="s">
        <v>24</v>
      </c>
      <c r="L983" s="6" t="s">
        <v>61</v>
      </c>
      <c r="M983" s="6">
        <f t="shared" si="1"/>
        <v>253.02</v>
      </c>
      <c r="N983" s="6">
        <f t="shared" si="2"/>
        <v>285.672192</v>
      </c>
      <c r="O983" s="6">
        <f t="shared" si="3"/>
        <v>32.652192</v>
      </c>
      <c r="P983" s="7">
        <f t="shared" si="4"/>
        <v>0.1142995115</v>
      </c>
      <c r="Q983" s="6" t="s">
        <v>76</v>
      </c>
      <c r="R983" s="8">
        <f t="shared" si="5"/>
        <v>38.807808</v>
      </c>
    </row>
    <row r="984" ht="14.25" customHeight="1">
      <c r="A984" s="6" t="s">
        <v>2520</v>
      </c>
      <c r="B984" s="6" t="s">
        <v>1108</v>
      </c>
      <c r="C984" s="6" t="s">
        <v>2521</v>
      </c>
      <c r="D984" s="6" t="s">
        <v>83</v>
      </c>
      <c r="E984" s="6" t="s">
        <v>65</v>
      </c>
      <c r="F984" s="6" t="s">
        <v>66</v>
      </c>
      <c r="G984" s="6">
        <v>7.0</v>
      </c>
      <c r="H984" s="6">
        <v>346.91</v>
      </c>
      <c r="I984" s="6">
        <v>457.05</v>
      </c>
      <c r="J984" s="6">
        <v>3.15</v>
      </c>
      <c r="K984" s="6" t="s">
        <v>44</v>
      </c>
      <c r="L984" s="6" t="s">
        <v>25</v>
      </c>
      <c r="M984" s="6">
        <f t="shared" si="1"/>
        <v>2428.37</v>
      </c>
      <c r="N984" s="6">
        <f t="shared" si="2"/>
        <v>3098.570475</v>
      </c>
      <c r="O984" s="6">
        <f t="shared" si="3"/>
        <v>670.200475</v>
      </c>
      <c r="P984" s="7">
        <f t="shared" si="4"/>
        <v>0.2162934425</v>
      </c>
      <c r="Q984" s="6" t="s">
        <v>26</v>
      </c>
      <c r="R984" s="8">
        <f t="shared" si="5"/>
        <v>100.779525</v>
      </c>
    </row>
    <row r="985" ht="14.25" customHeight="1">
      <c r="A985" s="6" t="s">
        <v>2522</v>
      </c>
      <c r="B985" s="6" t="s">
        <v>2523</v>
      </c>
      <c r="C985" s="6" t="s">
        <v>2524</v>
      </c>
      <c r="D985" s="6" t="s">
        <v>30</v>
      </c>
      <c r="E985" s="6" t="s">
        <v>22</v>
      </c>
      <c r="F985" s="6" t="s">
        <v>23</v>
      </c>
      <c r="G985" s="6">
        <v>8.0</v>
      </c>
      <c r="H985" s="6">
        <v>96.91</v>
      </c>
      <c r="I985" s="6">
        <v>160.49</v>
      </c>
      <c r="J985" s="6">
        <v>24.22</v>
      </c>
      <c r="K985" s="6" t="s">
        <v>24</v>
      </c>
      <c r="L985" s="6" t="s">
        <v>25</v>
      </c>
      <c r="M985" s="6">
        <f t="shared" si="1"/>
        <v>775.28</v>
      </c>
      <c r="N985" s="6">
        <f t="shared" si="2"/>
        <v>972.954576</v>
      </c>
      <c r="O985" s="6">
        <f t="shared" si="3"/>
        <v>197.674576</v>
      </c>
      <c r="P985" s="7">
        <f t="shared" si="4"/>
        <v>0.203169378</v>
      </c>
      <c r="Q985" s="6" t="s">
        <v>49</v>
      </c>
      <c r="R985" s="8">
        <f t="shared" si="5"/>
        <v>310.965424</v>
      </c>
    </row>
    <row r="986" ht="14.25" customHeight="1">
      <c r="A986" s="6" t="s">
        <v>2525</v>
      </c>
      <c r="B986" s="6" t="s">
        <v>2526</v>
      </c>
      <c r="C986" s="6" t="s">
        <v>2527</v>
      </c>
      <c r="D986" s="6" t="s">
        <v>64</v>
      </c>
      <c r="E986" s="6" t="s">
        <v>38</v>
      </c>
      <c r="F986" s="6" t="s">
        <v>71</v>
      </c>
      <c r="G986" s="6">
        <v>7.0</v>
      </c>
      <c r="H986" s="6">
        <v>417.83</v>
      </c>
      <c r="I986" s="6">
        <v>529.75</v>
      </c>
      <c r="J986" s="6">
        <v>0.03</v>
      </c>
      <c r="K986" s="6" t="s">
        <v>24</v>
      </c>
      <c r="L986" s="6" t="s">
        <v>25</v>
      </c>
      <c r="M986" s="6">
        <f t="shared" si="1"/>
        <v>2924.81</v>
      </c>
      <c r="N986" s="6">
        <f t="shared" si="2"/>
        <v>3707.137525</v>
      </c>
      <c r="O986" s="6">
        <f t="shared" si="3"/>
        <v>782.327525</v>
      </c>
      <c r="P986" s="7">
        <f t="shared" si="4"/>
        <v>0.2110327766</v>
      </c>
      <c r="Q986" s="6" t="s">
        <v>76</v>
      </c>
      <c r="R986" s="8">
        <f t="shared" si="5"/>
        <v>1.112475</v>
      </c>
    </row>
    <row r="987" ht="14.25" customHeight="1">
      <c r="A987" s="6" t="s">
        <v>2528</v>
      </c>
      <c r="B987" s="6" t="s">
        <v>889</v>
      </c>
      <c r="C987" s="6" t="s">
        <v>2529</v>
      </c>
      <c r="D987" s="6" t="s">
        <v>64</v>
      </c>
      <c r="E987" s="6" t="s">
        <v>38</v>
      </c>
      <c r="F987" s="6" t="s">
        <v>39</v>
      </c>
      <c r="G987" s="6">
        <v>6.0</v>
      </c>
      <c r="H987" s="6">
        <v>384.66</v>
      </c>
      <c r="I987" s="6">
        <v>565.35</v>
      </c>
      <c r="J987" s="6">
        <v>24.73</v>
      </c>
      <c r="K987" s="6" t="s">
        <v>24</v>
      </c>
      <c r="L987" s="6" t="s">
        <v>25</v>
      </c>
      <c r="M987" s="6">
        <f t="shared" si="1"/>
        <v>2307.96</v>
      </c>
      <c r="N987" s="6">
        <f t="shared" si="2"/>
        <v>2553.23367</v>
      </c>
      <c r="O987" s="6">
        <f t="shared" si="3"/>
        <v>245.27367</v>
      </c>
      <c r="P987" s="7">
        <f t="shared" si="4"/>
        <v>0.0960639337</v>
      </c>
      <c r="Q987" s="6" t="s">
        <v>76</v>
      </c>
      <c r="R987" s="8">
        <f t="shared" si="5"/>
        <v>838.86633</v>
      </c>
    </row>
    <row r="988" ht="14.25" customHeight="1">
      <c r="A988" s="6" t="s">
        <v>2530</v>
      </c>
      <c r="B988" s="6" t="s">
        <v>377</v>
      </c>
      <c r="C988" s="6" t="s">
        <v>2531</v>
      </c>
      <c r="D988" s="6" t="s">
        <v>83</v>
      </c>
      <c r="E988" s="6" t="s">
        <v>53</v>
      </c>
      <c r="F988" s="6" t="s">
        <v>54</v>
      </c>
      <c r="G988" s="6">
        <v>8.0</v>
      </c>
      <c r="H988" s="6">
        <v>197.43</v>
      </c>
      <c r="I988" s="6">
        <v>365.86</v>
      </c>
      <c r="J988" s="6">
        <v>2.86</v>
      </c>
      <c r="K988" s="6" t="s">
        <v>44</v>
      </c>
      <c r="L988" s="6" t="s">
        <v>61</v>
      </c>
      <c r="M988" s="6">
        <f t="shared" si="1"/>
        <v>1579.44</v>
      </c>
      <c r="N988" s="6">
        <f t="shared" si="2"/>
        <v>2843.171232</v>
      </c>
      <c r="O988" s="6">
        <f t="shared" si="3"/>
        <v>1263.731232</v>
      </c>
      <c r="P988" s="7">
        <f t="shared" si="4"/>
        <v>0.4444794664</v>
      </c>
      <c r="Q988" s="6" t="s">
        <v>26</v>
      </c>
      <c r="R988" s="8">
        <f t="shared" si="5"/>
        <v>83.708768</v>
      </c>
    </row>
    <row r="989" ht="14.25" customHeight="1">
      <c r="A989" s="6" t="s">
        <v>2532</v>
      </c>
      <c r="B989" s="6" t="s">
        <v>449</v>
      </c>
      <c r="C989" s="6" t="s">
        <v>2533</v>
      </c>
      <c r="D989" s="6" t="s">
        <v>30</v>
      </c>
      <c r="E989" s="6" t="s">
        <v>38</v>
      </c>
      <c r="F989" s="6" t="s">
        <v>71</v>
      </c>
      <c r="G989" s="6">
        <v>1.0</v>
      </c>
      <c r="H989" s="6">
        <v>257.88</v>
      </c>
      <c r="I989" s="6">
        <v>400.46</v>
      </c>
      <c r="J989" s="6">
        <v>12.41</v>
      </c>
      <c r="K989" s="6" t="s">
        <v>24</v>
      </c>
      <c r="L989" s="6" t="s">
        <v>25</v>
      </c>
      <c r="M989" s="6">
        <f t="shared" si="1"/>
        <v>257.88</v>
      </c>
      <c r="N989" s="6">
        <f t="shared" si="2"/>
        <v>350.762914</v>
      </c>
      <c r="O989" s="6">
        <f t="shared" si="3"/>
        <v>92.882914</v>
      </c>
      <c r="P989" s="7">
        <f t="shared" si="4"/>
        <v>0.2648025498</v>
      </c>
      <c r="Q989" s="6" t="s">
        <v>40</v>
      </c>
      <c r="R989" s="8">
        <f t="shared" si="5"/>
        <v>49.697086</v>
      </c>
    </row>
    <row r="990" ht="14.25" customHeight="1">
      <c r="A990" s="6" t="s">
        <v>2534</v>
      </c>
      <c r="B990" s="6" t="s">
        <v>456</v>
      </c>
      <c r="C990" s="6" t="s">
        <v>2535</v>
      </c>
      <c r="D990" s="6" t="s">
        <v>64</v>
      </c>
      <c r="E990" s="6" t="s">
        <v>38</v>
      </c>
      <c r="F990" s="6" t="s">
        <v>71</v>
      </c>
      <c r="G990" s="6">
        <v>4.0</v>
      </c>
      <c r="H990" s="6">
        <v>142.84</v>
      </c>
      <c r="I990" s="6">
        <v>200.98</v>
      </c>
      <c r="J990" s="6">
        <v>14.03</v>
      </c>
      <c r="K990" s="6" t="s">
        <v>44</v>
      </c>
      <c r="L990" s="6" t="s">
        <v>61</v>
      </c>
      <c r="M990" s="6">
        <f t="shared" si="1"/>
        <v>571.36</v>
      </c>
      <c r="N990" s="6">
        <f t="shared" si="2"/>
        <v>691.130024</v>
      </c>
      <c r="O990" s="6">
        <f t="shared" si="3"/>
        <v>119.770024</v>
      </c>
      <c r="P990" s="7">
        <f t="shared" si="4"/>
        <v>0.1732959354</v>
      </c>
      <c r="Q990" s="6" t="s">
        <v>26</v>
      </c>
      <c r="R990" s="8">
        <f t="shared" si="5"/>
        <v>112.789976</v>
      </c>
    </row>
    <row r="991" ht="14.25" customHeight="1">
      <c r="A991" s="6" t="s">
        <v>2536</v>
      </c>
      <c r="B991" s="6" t="s">
        <v>889</v>
      </c>
      <c r="C991" s="6" t="s">
        <v>2537</v>
      </c>
      <c r="D991" s="6" t="s">
        <v>21</v>
      </c>
      <c r="E991" s="6" t="s">
        <v>65</v>
      </c>
      <c r="F991" s="6" t="s">
        <v>75</v>
      </c>
      <c r="G991" s="6">
        <v>5.0</v>
      </c>
      <c r="H991" s="6">
        <v>86.95</v>
      </c>
      <c r="I991" s="6">
        <v>124.51</v>
      </c>
      <c r="J991" s="6">
        <v>15.71</v>
      </c>
      <c r="K991" s="6" t="s">
        <v>24</v>
      </c>
      <c r="L991" s="6" t="s">
        <v>61</v>
      </c>
      <c r="M991" s="6">
        <f t="shared" si="1"/>
        <v>434.75</v>
      </c>
      <c r="N991" s="6">
        <f t="shared" si="2"/>
        <v>524.747395</v>
      </c>
      <c r="O991" s="6">
        <f t="shared" si="3"/>
        <v>89.997395</v>
      </c>
      <c r="P991" s="7">
        <f t="shared" si="4"/>
        <v>0.1715061301</v>
      </c>
      <c r="Q991" s="6" t="s">
        <v>49</v>
      </c>
      <c r="R991" s="8">
        <f t="shared" si="5"/>
        <v>97.802605</v>
      </c>
    </row>
    <row r="992" ht="14.25" customHeight="1">
      <c r="A992" s="6" t="s">
        <v>2538</v>
      </c>
      <c r="B992" s="6" t="s">
        <v>2539</v>
      </c>
      <c r="C992" s="6" t="s">
        <v>2540</v>
      </c>
      <c r="D992" s="6" t="s">
        <v>64</v>
      </c>
      <c r="E992" s="6" t="s">
        <v>59</v>
      </c>
      <c r="F992" s="6" t="s">
        <v>60</v>
      </c>
      <c r="G992" s="6">
        <v>3.0</v>
      </c>
      <c r="H992" s="6">
        <v>363.17</v>
      </c>
      <c r="I992" s="6">
        <v>539.97</v>
      </c>
      <c r="J992" s="6">
        <v>9.47</v>
      </c>
      <c r="K992" s="6" t="s">
        <v>44</v>
      </c>
      <c r="L992" s="6" t="s">
        <v>61</v>
      </c>
      <c r="M992" s="6">
        <f t="shared" si="1"/>
        <v>1089.51</v>
      </c>
      <c r="N992" s="6">
        <f t="shared" si="2"/>
        <v>1466.504523</v>
      </c>
      <c r="O992" s="6">
        <f t="shared" si="3"/>
        <v>376.994523</v>
      </c>
      <c r="P992" s="7">
        <f t="shared" si="4"/>
        <v>0.25707014</v>
      </c>
      <c r="Q992" s="6" t="s">
        <v>26</v>
      </c>
      <c r="R992" s="8">
        <f t="shared" si="5"/>
        <v>153.405477</v>
      </c>
    </row>
    <row r="993" ht="14.25" customHeight="1">
      <c r="A993" s="6" t="s">
        <v>2541</v>
      </c>
      <c r="B993" s="6" t="s">
        <v>2542</v>
      </c>
      <c r="C993" s="6" t="s">
        <v>2543</v>
      </c>
      <c r="D993" s="6" t="s">
        <v>21</v>
      </c>
      <c r="E993" s="6" t="s">
        <v>31</v>
      </c>
      <c r="F993" s="6" t="s">
        <v>32</v>
      </c>
      <c r="G993" s="6">
        <v>2.0</v>
      </c>
      <c r="H993" s="6">
        <v>245.94</v>
      </c>
      <c r="I993" s="6">
        <v>455.78</v>
      </c>
      <c r="J993" s="6">
        <v>19.47</v>
      </c>
      <c r="K993" s="6" t="s">
        <v>24</v>
      </c>
      <c r="L993" s="6" t="s">
        <v>61</v>
      </c>
      <c r="M993" s="6">
        <f t="shared" si="1"/>
        <v>491.88</v>
      </c>
      <c r="N993" s="6">
        <f t="shared" si="2"/>
        <v>734.079268</v>
      </c>
      <c r="O993" s="6">
        <f t="shared" si="3"/>
        <v>242.199268</v>
      </c>
      <c r="P993" s="7">
        <f t="shared" si="4"/>
        <v>0.3299361235</v>
      </c>
      <c r="Q993" s="6" t="s">
        <v>40</v>
      </c>
      <c r="R993" s="8">
        <f t="shared" si="5"/>
        <v>177.480732</v>
      </c>
    </row>
    <row r="994" ht="14.25" customHeight="1">
      <c r="A994" s="6" t="s">
        <v>2544</v>
      </c>
      <c r="B994" s="6" t="s">
        <v>641</v>
      </c>
      <c r="C994" s="6" t="s">
        <v>2545</v>
      </c>
      <c r="D994" s="6" t="s">
        <v>64</v>
      </c>
      <c r="E994" s="6" t="s">
        <v>31</v>
      </c>
      <c r="F994" s="6" t="s">
        <v>32</v>
      </c>
      <c r="G994" s="6">
        <v>8.0</v>
      </c>
      <c r="H994" s="6">
        <v>130.34</v>
      </c>
      <c r="I994" s="6">
        <v>167.48</v>
      </c>
      <c r="J994" s="6">
        <v>4.23</v>
      </c>
      <c r="K994" s="6" t="s">
        <v>44</v>
      </c>
      <c r="L994" s="6" t="s">
        <v>25</v>
      </c>
      <c r="M994" s="6">
        <f t="shared" si="1"/>
        <v>1042.72</v>
      </c>
      <c r="N994" s="6">
        <f t="shared" si="2"/>
        <v>1283.164768</v>
      </c>
      <c r="O994" s="6">
        <f t="shared" si="3"/>
        <v>240.444768</v>
      </c>
      <c r="P994" s="7">
        <f t="shared" si="4"/>
        <v>0.1873841723</v>
      </c>
      <c r="Q994" s="6" t="s">
        <v>26</v>
      </c>
      <c r="R994" s="8">
        <f t="shared" si="5"/>
        <v>56.675232</v>
      </c>
    </row>
    <row r="995" ht="14.25" customHeight="1">
      <c r="A995" s="6" t="s">
        <v>2546</v>
      </c>
      <c r="B995" s="6" t="s">
        <v>2547</v>
      </c>
      <c r="C995" s="6" t="s">
        <v>2548</v>
      </c>
      <c r="D995" s="6" t="s">
        <v>48</v>
      </c>
      <c r="E995" s="6" t="s">
        <v>87</v>
      </c>
      <c r="F995" s="6" t="s">
        <v>88</v>
      </c>
      <c r="G995" s="6">
        <v>4.0</v>
      </c>
      <c r="H995" s="6">
        <v>367.82</v>
      </c>
      <c r="I995" s="6">
        <v>446.42</v>
      </c>
      <c r="J995" s="6">
        <v>1.87</v>
      </c>
      <c r="K995" s="6" t="s">
        <v>24</v>
      </c>
      <c r="L995" s="6" t="s">
        <v>55</v>
      </c>
      <c r="M995" s="6">
        <f t="shared" si="1"/>
        <v>1471.28</v>
      </c>
      <c r="N995" s="6">
        <f t="shared" si="2"/>
        <v>1752.287784</v>
      </c>
      <c r="O995" s="6">
        <f t="shared" si="3"/>
        <v>281.007784</v>
      </c>
      <c r="P995" s="7">
        <f t="shared" si="4"/>
        <v>0.160366229</v>
      </c>
      <c r="Q995" s="6" t="s">
        <v>34</v>
      </c>
      <c r="R995" s="8">
        <f t="shared" si="5"/>
        <v>33.392216</v>
      </c>
    </row>
    <row r="996" ht="14.25" customHeight="1">
      <c r="A996" s="6" t="s">
        <v>2549</v>
      </c>
      <c r="B996" s="6" t="s">
        <v>336</v>
      </c>
      <c r="C996" s="6" t="s">
        <v>2550</v>
      </c>
      <c r="D996" s="6" t="s">
        <v>70</v>
      </c>
      <c r="E996" s="6" t="s">
        <v>38</v>
      </c>
      <c r="F996" s="6" t="s">
        <v>71</v>
      </c>
      <c r="G996" s="6">
        <v>6.0</v>
      </c>
      <c r="H996" s="6">
        <v>330.95</v>
      </c>
      <c r="I996" s="6">
        <v>548.77</v>
      </c>
      <c r="J996" s="6">
        <v>12.54</v>
      </c>
      <c r="K996" s="6" t="s">
        <v>44</v>
      </c>
      <c r="L996" s="6" t="s">
        <v>55</v>
      </c>
      <c r="M996" s="6">
        <f t="shared" si="1"/>
        <v>1985.7</v>
      </c>
      <c r="N996" s="6">
        <f t="shared" si="2"/>
        <v>2879.725452</v>
      </c>
      <c r="O996" s="6">
        <f t="shared" si="3"/>
        <v>894.025452</v>
      </c>
      <c r="P996" s="7">
        <f t="shared" si="4"/>
        <v>0.3104550996</v>
      </c>
      <c r="Q996" s="6" t="s">
        <v>76</v>
      </c>
      <c r="R996" s="8">
        <f t="shared" si="5"/>
        <v>412.894548</v>
      </c>
    </row>
    <row r="997" ht="14.25" customHeight="1">
      <c r="A997" s="6" t="s">
        <v>2551</v>
      </c>
      <c r="B997" s="6" t="s">
        <v>2552</v>
      </c>
      <c r="C997" s="6" t="s">
        <v>2553</v>
      </c>
      <c r="D997" s="6" t="s">
        <v>30</v>
      </c>
      <c r="E997" s="6" t="s">
        <v>31</v>
      </c>
      <c r="F997" s="6" t="s">
        <v>32</v>
      </c>
      <c r="G997" s="6">
        <v>2.0</v>
      </c>
      <c r="H997" s="6">
        <v>274.11</v>
      </c>
      <c r="I997" s="6">
        <v>498.46</v>
      </c>
      <c r="J997" s="6">
        <v>21.76</v>
      </c>
      <c r="K997" s="6" t="s">
        <v>24</v>
      </c>
      <c r="L997" s="6" t="s">
        <v>25</v>
      </c>
      <c r="M997" s="6">
        <f t="shared" si="1"/>
        <v>548.22</v>
      </c>
      <c r="N997" s="6">
        <f t="shared" si="2"/>
        <v>779.990208</v>
      </c>
      <c r="O997" s="6">
        <f t="shared" si="3"/>
        <v>231.770208</v>
      </c>
      <c r="P997" s="7">
        <f t="shared" si="4"/>
        <v>0.2971450226</v>
      </c>
      <c r="Q997" s="6" t="s">
        <v>34</v>
      </c>
      <c r="R997" s="8">
        <f t="shared" si="5"/>
        <v>216.929792</v>
      </c>
    </row>
    <row r="998" ht="14.25" customHeight="1">
      <c r="A998" s="6" t="s">
        <v>2554</v>
      </c>
      <c r="B998" s="6" t="s">
        <v>368</v>
      </c>
      <c r="C998" s="6" t="s">
        <v>2555</v>
      </c>
      <c r="D998" s="6" t="s">
        <v>21</v>
      </c>
      <c r="E998" s="6" t="s">
        <v>87</v>
      </c>
      <c r="F998" s="6" t="s">
        <v>88</v>
      </c>
      <c r="G998" s="6">
        <v>7.0</v>
      </c>
      <c r="H998" s="6">
        <v>207.86</v>
      </c>
      <c r="I998" s="6">
        <v>289.2</v>
      </c>
      <c r="J998" s="6">
        <v>11.33</v>
      </c>
      <c r="K998" s="6" t="s">
        <v>44</v>
      </c>
      <c r="L998" s="6" t="s">
        <v>33</v>
      </c>
      <c r="M998" s="6">
        <f t="shared" si="1"/>
        <v>1455.02</v>
      </c>
      <c r="N998" s="6">
        <f t="shared" si="2"/>
        <v>1795.03548</v>
      </c>
      <c r="O998" s="6">
        <f t="shared" si="3"/>
        <v>340.01548</v>
      </c>
      <c r="P998" s="7">
        <f t="shared" si="4"/>
        <v>0.1894199217</v>
      </c>
      <c r="Q998" s="6" t="s">
        <v>26</v>
      </c>
      <c r="R998" s="8">
        <f t="shared" si="5"/>
        <v>229.36452</v>
      </c>
    </row>
    <row r="999" ht="14.25" customHeight="1">
      <c r="A999" s="6" t="s">
        <v>2556</v>
      </c>
      <c r="B999" s="6" t="s">
        <v>1926</v>
      </c>
      <c r="C999" s="6" t="s">
        <v>2557</v>
      </c>
      <c r="D999" s="6" t="s">
        <v>70</v>
      </c>
      <c r="E999" s="6" t="s">
        <v>53</v>
      </c>
      <c r="F999" s="6" t="s">
        <v>54</v>
      </c>
      <c r="G999" s="6">
        <v>3.0</v>
      </c>
      <c r="H999" s="6">
        <v>68.06</v>
      </c>
      <c r="I999" s="6">
        <v>114.15</v>
      </c>
      <c r="J999" s="6">
        <v>15.83</v>
      </c>
      <c r="K999" s="6" t="s">
        <v>24</v>
      </c>
      <c r="L999" s="6" t="s">
        <v>61</v>
      </c>
      <c r="M999" s="6">
        <f t="shared" si="1"/>
        <v>204.18</v>
      </c>
      <c r="N999" s="6">
        <f t="shared" si="2"/>
        <v>288.240165</v>
      </c>
      <c r="O999" s="6">
        <f t="shared" si="3"/>
        <v>84.060165</v>
      </c>
      <c r="P999" s="7">
        <f t="shared" si="4"/>
        <v>0.2916323789</v>
      </c>
      <c r="Q999" s="6" t="s">
        <v>26</v>
      </c>
      <c r="R999" s="8">
        <f t="shared" si="5"/>
        <v>54.209835</v>
      </c>
    </row>
    <row r="1000" ht="14.25" customHeight="1">
      <c r="A1000" s="6" t="s">
        <v>2558</v>
      </c>
      <c r="B1000" s="6" t="s">
        <v>1254</v>
      </c>
      <c r="C1000" s="6" t="s">
        <v>2559</v>
      </c>
      <c r="D1000" s="6" t="s">
        <v>30</v>
      </c>
      <c r="E1000" s="6" t="s">
        <v>53</v>
      </c>
      <c r="F1000" s="6" t="s">
        <v>54</v>
      </c>
      <c r="G1000" s="6">
        <v>7.0</v>
      </c>
      <c r="H1000" s="6">
        <v>415.77</v>
      </c>
      <c r="I1000" s="6">
        <v>520.77</v>
      </c>
      <c r="J1000" s="6">
        <v>1.56</v>
      </c>
      <c r="K1000" s="6" t="s">
        <v>44</v>
      </c>
      <c r="L1000" s="6" t="s">
        <v>55</v>
      </c>
      <c r="M1000" s="6">
        <f t="shared" si="1"/>
        <v>2910.39</v>
      </c>
      <c r="N1000" s="6">
        <f t="shared" si="2"/>
        <v>3588.521916</v>
      </c>
      <c r="O1000" s="6">
        <f t="shared" si="3"/>
        <v>678.131916</v>
      </c>
      <c r="P1000" s="7">
        <f t="shared" si="4"/>
        <v>0.1889724884</v>
      </c>
      <c r="Q1000" s="6" t="s">
        <v>49</v>
      </c>
      <c r="R1000" s="8">
        <f t="shared" si="5"/>
        <v>56.868084</v>
      </c>
    </row>
    <row r="1001" ht="14.25" customHeight="1">
      <c r="A1001" s="6" t="s">
        <v>2560</v>
      </c>
      <c r="B1001" s="6" t="s">
        <v>1210</v>
      </c>
      <c r="C1001" s="6" t="s">
        <v>2561</v>
      </c>
      <c r="D1001" s="6" t="s">
        <v>21</v>
      </c>
      <c r="E1001" s="6" t="s">
        <v>65</v>
      </c>
      <c r="F1001" s="6" t="s">
        <v>66</v>
      </c>
      <c r="G1001" s="6">
        <v>8.0</v>
      </c>
      <c r="H1001" s="6">
        <v>310.39</v>
      </c>
      <c r="I1001" s="6">
        <v>405.21</v>
      </c>
      <c r="J1001" s="6">
        <v>5.09</v>
      </c>
      <c r="K1001" s="6" t="s">
        <v>24</v>
      </c>
      <c r="L1001" s="6" t="s">
        <v>61</v>
      </c>
      <c r="M1001" s="6">
        <f t="shared" si="1"/>
        <v>2483.12</v>
      </c>
      <c r="N1001" s="6">
        <f t="shared" si="2"/>
        <v>3076.678488</v>
      </c>
      <c r="O1001" s="6">
        <f t="shared" si="3"/>
        <v>593.558488</v>
      </c>
      <c r="P1001" s="7">
        <f t="shared" si="4"/>
        <v>0.1929218442</v>
      </c>
      <c r="Q1001" s="6" t="s">
        <v>34</v>
      </c>
      <c r="R1001" s="8">
        <f t="shared" si="5"/>
        <v>165.001512</v>
      </c>
    </row>
  </sheetData>
  <printOptions/>
  <pageMargins bottom="1.0" footer="0.0" header="0.0" left="0.75" right="0.75" top="1.0"/>
  <pageSetup orientation="landscape"/>
  <drawing r:id="rId1"/>
</worksheet>
</file>